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edmi\Desktop\"/>
    </mc:Choice>
  </mc:AlternateContent>
  <xr:revisionPtr revIDLastSave="0" documentId="13_ncr:1_{66B0B545-0EDB-4FA2-9901-81DEA581B187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payments_raw" sheetId="1" r:id="rId1"/>
    <sheet name="checks" sheetId="6" r:id="rId2"/>
    <sheet name=" daily_report " sheetId="4" r:id="rId3"/>
    <sheet name="reference_purpose" sheetId="2" r:id="rId4"/>
  </sheets>
  <definedNames>
    <definedName name="_xlnm._FilterDatabase" localSheetId="0" hidden="1">payments_raw!$A$1:$J$1</definedName>
    <definedName name="ExternalData_1" localSheetId="2" hidden="1">' daily_report '!$A$1:$G$11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6" l="1"/>
  <c r="B9" i="6"/>
  <c r="B8" i="6"/>
  <c r="B7" i="6"/>
  <c r="B4" i="6"/>
  <c r="B3" i="6"/>
  <c r="B2" i="6"/>
  <c r="B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4EEC5A-E139-48C5-BE02-C50DDEB7100A}" keepAlive="1" interval="1" name="Запрос — payments_aggregates" description="Соединение с запросом &quot;payments_aggregates&quot; в книге." type="5" refreshedVersion="7" background="1" refreshOnLoad="1" saveData="1">
    <dbPr connection="Provider=Microsoft.Mashup.OleDb.1;Data Source=$Workbook$;Location=payments_aggregates;Extended Properties=&quot;&quot;" command="SELECT * FROM [payments_aggregates]"/>
  </connection>
  <connection id="2" xr16:uid="{DE8CC56E-4D61-4C08-969C-2D3B96E78296}" keepAlive="1" name="Запрос — payments_unique_donors" description="Соединение с запросом &quot;payments_unique_donors&quot; в книге." type="5" refreshedVersion="0" background="1">
    <dbPr connection="Provider=Microsoft.Mashup.OleDb.1;Data Source=$Workbook$;Location=payments_unique_donors;Extended Properties=&quot;&quot;" command="SELECT * FROM [payments_unique_donors]"/>
  </connection>
</connections>
</file>

<file path=xl/sharedStrings.xml><?xml version="1.0" encoding="utf-8"?>
<sst xmlns="http://schemas.openxmlformats.org/spreadsheetml/2006/main" count="803" uniqueCount="312">
  <si>
    <t>payment_id</t>
  </si>
  <si>
    <t>payment_date</t>
  </si>
  <si>
    <t>amount</t>
  </si>
  <si>
    <t>currency</t>
  </si>
  <si>
    <t>channel</t>
  </si>
  <si>
    <t>donor_email</t>
  </si>
  <si>
    <t>donor_name</t>
  </si>
  <si>
    <t>purpose_code</t>
  </si>
  <si>
    <t>campaign</t>
  </si>
  <si>
    <t>status</t>
  </si>
  <si>
    <t>P200000</t>
  </si>
  <si>
    <t>2025-11-24 12:28:00</t>
  </si>
  <si>
    <t>RUB</t>
  </si>
  <si>
    <t>card</t>
  </si>
  <si>
    <t>alex0@mail.ru</t>
  </si>
  <si>
    <t>Мария Соколова</t>
  </si>
  <si>
    <t>GEN</t>
  </si>
  <si>
    <t>success</t>
  </si>
  <si>
    <t>P200001</t>
  </si>
  <si>
    <t>2025-11-25 13:35:00</t>
  </si>
  <si>
    <t>app</t>
  </si>
  <si>
    <t>olga.k1@yandex.ru</t>
  </si>
  <si>
    <t>Алексей Смирнов</t>
  </si>
  <si>
    <t>SCI</t>
  </si>
  <si>
    <t>ButlerDinner</t>
  </si>
  <si>
    <t>P200002</t>
  </si>
  <si>
    <t>2025-11-22 09:11:00</t>
  </si>
  <si>
    <t>sergey_882@gmail.com</t>
  </si>
  <si>
    <t>Иван Петров</t>
  </si>
  <si>
    <t>NY2025</t>
  </si>
  <si>
    <t>P200003</t>
  </si>
  <si>
    <t>2025-11-20 20:54:00</t>
  </si>
  <si>
    <t>ivan.petrov3@mail.ru</t>
  </si>
  <si>
    <t>P200004</t>
  </si>
  <si>
    <t>2025-11-24 10:03:00</t>
  </si>
  <si>
    <t>nataly4@yandex.ru</t>
  </si>
  <si>
    <t>IMZ</t>
  </si>
  <si>
    <t>P200005</t>
  </si>
  <si>
    <t>2025-11-21 20:46:00</t>
  </si>
  <si>
    <t>bademail.ru</t>
  </si>
  <si>
    <t>Ольга Кузнецова</t>
  </si>
  <si>
    <t>refund</t>
  </si>
  <si>
    <t>P200006</t>
  </si>
  <si>
    <t>2025-11-19 14:53:00</t>
  </si>
  <si>
    <t>sbp</t>
  </si>
  <si>
    <t>alex6@mail.ru</t>
  </si>
  <si>
    <t>P200007</t>
  </si>
  <si>
    <t>2025-11-21 16:13:00</t>
  </si>
  <si>
    <t>ivan.petrov7@yandex.ru</t>
  </si>
  <si>
    <t>UNK</t>
  </si>
  <si>
    <t>fail</t>
  </si>
  <si>
    <t>P200008</t>
  </si>
  <si>
    <t>2025-11-25 18:24:00</t>
  </si>
  <si>
    <t>donor8@gmail.com</t>
  </si>
  <si>
    <t>IMZ_Campaign</t>
  </si>
  <si>
    <t>P200009</t>
  </si>
  <si>
    <t>2025-11-25 16:10:00</t>
  </si>
  <si>
    <t>olga.k0@mail.ru</t>
  </si>
  <si>
    <t>2025-11-26 20:06:00</t>
  </si>
  <si>
    <t>sergey_881@yandex.ru</t>
  </si>
  <si>
    <t>P200011</t>
  </si>
  <si>
    <t>2025-11-20 09:34:00</t>
  </si>
  <si>
    <t>bank_transfer</t>
  </si>
  <si>
    <t>nataly2@mail.ru</t>
  </si>
  <si>
    <t>P200012</t>
  </si>
  <si>
    <t>2025-11-26 18:41:00</t>
  </si>
  <si>
    <t>donor3@gmail.com</t>
  </si>
  <si>
    <t>P200013</t>
  </si>
  <si>
    <t>2025-11-24 15:44:00</t>
  </si>
  <si>
    <t>donor4@mail.ru</t>
  </si>
  <si>
    <t>TRF</t>
  </si>
  <si>
    <t>P200014</t>
  </si>
  <si>
    <t>2025-11-26 13:05:00</t>
  </si>
  <si>
    <t>nataly5@mail.ru</t>
  </si>
  <si>
    <t>P200015</t>
  </si>
  <si>
    <t>alex6@gmail.com</t>
  </si>
  <si>
    <t>P200016</t>
  </si>
  <si>
    <t>2025-11-18 11:41:00</t>
  </si>
  <si>
    <t>olga.k7@yandex.ru</t>
  </si>
  <si>
    <t>P200017</t>
  </si>
  <si>
    <t>2025-11-27 12:11:00</t>
  </si>
  <si>
    <t>no_at.com</t>
  </si>
  <si>
    <t>P200018</t>
  </si>
  <si>
    <t>2025-11-18 10:01:00</t>
  </si>
  <si>
    <t>alex0@bk.ru</t>
  </si>
  <si>
    <t>P200019</t>
  </si>
  <si>
    <t>2025-11-22 20:25:00</t>
  </si>
  <si>
    <t>donor1@bk.ru</t>
  </si>
  <si>
    <t>P200020</t>
  </si>
  <si>
    <t>2025-11-21 10:05:00</t>
  </si>
  <si>
    <t>donor2@bk.ru</t>
  </si>
  <si>
    <t>P200021</t>
  </si>
  <si>
    <t>2025-11-20 12:59:00</t>
  </si>
  <si>
    <t>maria.s3@mail.ru</t>
  </si>
  <si>
    <t>P200022</t>
  </si>
  <si>
    <t>2025-11-26 09:39:00</t>
  </si>
  <si>
    <t>ivan.petrov4@mail.ru</t>
  </si>
  <si>
    <t>Сергей Иванов</t>
  </si>
  <si>
    <t>XYZ</t>
  </si>
  <si>
    <t>P200023</t>
  </si>
  <si>
    <t>2025-11-20 15:59:00</t>
  </si>
  <si>
    <t>sergey_885@gmail.com</t>
  </si>
  <si>
    <t>P200024</t>
  </si>
  <si>
    <t>2025-11-22 13:31:00</t>
  </si>
  <si>
    <t>ivan.petrov6@mail.ru</t>
  </si>
  <si>
    <t>P200025</t>
  </si>
  <si>
    <t>2025-11-25 12:10:00</t>
  </si>
  <si>
    <t>sergey_887@yandex.ru</t>
  </si>
  <si>
    <t>P200026</t>
  </si>
  <si>
    <t>2025-11-20 17:28:00</t>
  </si>
  <si>
    <t>nataly8@yandex.ru</t>
  </si>
  <si>
    <t>P200027</t>
  </si>
  <si>
    <t>2025-11-21 09:03:00</t>
  </si>
  <si>
    <t>P200028</t>
  </si>
  <si>
    <t>2025-11-20 14:54:00</t>
  </si>
  <si>
    <t>nataly1@yandex.ru</t>
  </si>
  <si>
    <t>Наталья Орлова</t>
  </si>
  <si>
    <t>P200029</t>
  </si>
  <si>
    <t>2025-11-19 13:29:00</t>
  </si>
  <si>
    <t>P200030</t>
  </si>
  <si>
    <t>2025-11-21 11:48:00</t>
  </si>
  <si>
    <t>sergey_883@yandex.ru</t>
  </si>
  <si>
    <t>P200031</t>
  </si>
  <si>
    <t>2025-11-26 13:23:00</t>
  </si>
  <si>
    <t>alex4@mail.ru</t>
  </si>
  <si>
    <t>P200032</t>
  </si>
  <si>
    <t>2025-11-22 15:32:00</t>
  </si>
  <si>
    <t>maria.s5@gmail.com</t>
  </si>
  <si>
    <t>P200033</t>
  </si>
  <si>
    <t>2025-11-23 15:01:00</t>
  </si>
  <si>
    <t xml:space="preserve"> space@domain.com</t>
  </si>
  <si>
    <t>P200034</t>
  </si>
  <si>
    <t>2025-11-27 15:25:00</t>
  </si>
  <si>
    <t>ivan.petrov7@bk.ru</t>
  </si>
  <si>
    <t>P200035</t>
  </si>
  <si>
    <t>2025-11-21 12:00:00</t>
  </si>
  <si>
    <t>nataly8@bk.ru</t>
  </si>
  <si>
    <t>P200036</t>
  </si>
  <si>
    <t>2025-11-19 10:31:00</t>
  </si>
  <si>
    <t>nataly0@mail.ru</t>
  </si>
  <si>
    <t>P200037</t>
  </si>
  <si>
    <t>2025-11-23 18:57:00</t>
  </si>
  <si>
    <t>P200038</t>
  </si>
  <si>
    <t>2025-11-25 13:59:00</t>
  </si>
  <si>
    <t>sergey_882@yandex.ru</t>
  </si>
  <si>
    <t>P200039</t>
  </si>
  <si>
    <t>2025-11-24 16:51:00</t>
  </si>
  <si>
    <t>maria.s3@yandex.ru</t>
  </si>
  <si>
    <t>alex4@yandex.ru</t>
  </si>
  <si>
    <t>P200041</t>
  </si>
  <si>
    <t>2025-11-27 09:46:00</t>
  </si>
  <si>
    <t>nataly5@yandex.ru</t>
  </si>
  <si>
    <t>P200042</t>
  </si>
  <si>
    <t>2025-11-24 13:21:00</t>
  </si>
  <si>
    <t>sergey_886@yandex.ru</t>
  </si>
  <si>
    <t>P200043</t>
  </si>
  <si>
    <t>2025-11-22 09:29:00</t>
  </si>
  <si>
    <t>sergey_887@bk.ru</t>
  </si>
  <si>
    <t>P200044</t>
  </si>
  <si>
    <t>2025-11-18 13:22:00</t>
  </si>
  <si>
    <t>sergey_888@yandex.ru</t>
  </si>
  <si>
    <t>P200045</t>
  </si>
  <si>
    <t>2025-11-18 16:04:00</t>
  </si>
  <si>
    <t>donor0@yandex.ru</t>
  </si>
  <si>
    <t>P200046</t>
  </si>
  <si>
    <t>2025-11-21 16:11:00</t>
  </si>
  <si>
    <t>sergey_881@gmail.com</t>
  </si>
  <si>
    <t>9</t>
  </si>
  <si>
    <t>P200047</t>
  </si>
  <si>
    <t>2025-11-20 09:32:00</t>
  </si>
  <si>
    <t>olga.k2@bk.ru</t>
  </si>
  <si>
    <t>P200048</t>
  </si>
  <si>
    <t>2025-11-20 10:34:00</t>
  </si>
  <si>
    <t>maria.s3@bk.ru</t>
  </si>
  <si>
    <t>P200049</t>
  </si>
  <si>
    <t>2025-11-20 17:06:00</t>
  </si>
  <si>
    <t>P200050</t>
  </si>
  <si>
    <t>2025-11-26 13:56:00</t>
  </si>
  <si>
    <t>alex5@gmail.com</t>
  </si>
  <si>
    <t>P200051</t>
  </si>
  <si>
    <t>2025-11-19 09:38:00</t>
  </si>
  <si>
    <t>nataly6@bk.ru</t>
  </si>
  <si>
    <t>P200052</t>
  </si>
  <si>
    <t>2025-11-24 17:34:00</t>
  </si>
  <si>
    <t>ivan.petrov7@gmail.com</t>
  </si>
  <si>
    <t>P200053</t>
  </si>
  <si>
    <t>2025-11-20 09:35:00</t>
  </si>
  <si>
    <t>sergey_888@gmail.com</t>
  </si>
  <si>
    <t>P200054</t>
  </si>
  <si>
    <t>2025-11-22 11:11:00</t>
  </si>
  <si>
    <t>olga.k0@gmail.com</t>
  </si>
  <si>
    <t>P200055</t>
  </si>
  <si>
    <t>2025-11-24 13:41:00</t>
  </si>
  <si>
    <t>donor1@yandex.ru</t>
  </si>
  <si>
    <t>P200056</t>
  </si>
  <si>
    <t>2025-11-19 20:08:00</t>
  </si>
  <si>
    <t>P200057</t>
  </si>
  <si>
    <t>2025-11-19 19:57:00</t>
  </si>
  <si>
    <t>alex3@gmail.com</t>
  </si>
  <si>
    <t>P200058</t>
  </si>
  <si>
    <t>2025-11-18 14:51:00</t>
  </si>
  <si>
    <t>john@</t>
  </si>
  <si>
    <t>P200059</t>
  </si>
  <si>
    <t>2025-11-20 20:53:00</t>
  </si>
  <si>
    <t>maria.s5@yandex.ru</t>
  </si>
  <si>
    <t>P200060</t>
  </si>
  <si>
    <t>2025-11-27 12:27:00</t>
  </si>
  <si>
    <t>donor6@gmail.com</t>
  </si>
  <si>
    <t>P200061</t>
  </si>
  <si>
    <t>2025-11-18 17:55:00</t>
  </si>
  <si>
    <t>alex7@yandex.ru</t>
  </si>
  <si>
    <t>P200062</t>
  </si>
  <si>
    <t>2025-11-22 14:20:00</t>
  </si>
  <si>
    <t>olga.k8@mail.ru</t>
  </si>
  <si>
    <t>P200063</t>
  </si>
  <si>
    <t>2025-11-18 09:52:00</t>
  </si>
  <si>
    <t>olga.k0@bk.ru</t>
  </si>
  <si>
    <t>P200064</t>
  </si>
  <si>
    <t>2025-11-25 20:52:00</t>
  </si>
  <si>
    <t>sergey_881@bk.ru</t>
  </si>
  <si>
    <t>P200065</t>
  </si>
  <si>
    <t>2025-11-22 17:35:00</t>
  </si>
  <si>
    <t>ivan.petrov2@gmail.com</t>
  </si>
  <si>
    <t>P200066</t>
  </si>
  <si>
    <t>2025-11-20 14:17:00</t>
  </si>
  <si>
    <t>alex3@mail.ru</t>
  </si>
  <si>
    <t>P200067</t>
  </si>
  <si>
    <t>2025-11-22 15:55:00</t>
  </si>
  <si>
    <t>ivan.petrov4@yandex.ru</t>
  </si>
  <si>
    <t>P200068</t>
  </si>
  <si>
    <t>2025-11-23 19:26:00</t>
  </si>
  <si>
    <t>ivan.petrov5@yandex.ru</t>
  </si>
  <si>
    <t>P200069</t>
  </si>
  <si>
    <t>2025-11-24 14:27:00</t>
  </si>
  <si>
    <t>P200070</t>
  </si>
  <si>
    <t>2025-11-22 13:09:00</t>
  </si>
  <si>
    <t>P200071</t>
  </si>
  <si>
    <t>2025-11-21 09:48:00</t>
  </si>
  <si>
    <t>anna@domain</t>
  </si>
  <si>
    <t>P200072</t>
  </si>
  <si>
    <t>2025-11-19 20:00:00</t>
  </si>
  <si>
    <t>alex0@yandex.ru</t>
  </si>
  <si>
    <t>P200073</t>
  </si>
  <si>
    <t>2025-11-22 10:10:00</t>
  </si>
  <si>
    <t>nataly1@bk.ru</t>
  </si>
  <si>
    <t>P200074</t>
  </si>
  <si>
    <t>2025-11-19 19:50:00</t>
  </si>
  <si>
    <t>ivan.petrov2@yandex.ru</t>
  </si>
  <si>
    <t>P200075</t>
  </si>
  <si>
    <t>2025-11-20 09:04:00</t>
  </si>
  <si>
    <t>ivan.petrov3@yandex.ru</t>
  </si>
  <si>
    <t>P200076</t>
  </si>
  <si>
    <t>2025-11-19 14:52:00</t>
  </si>
  <si>
    <t>nataly4@mail.ru</t>
  </si>
  <si>
    <t>P200077</t>
  </si>
  <si>
    <t>2025-11-24 15:15:00</t>
  </si>
  <si>
    <t>sergey_885@bk.ru</t>
  </si>
  <si>
    <t>P200078</t>
  </si>
  <si>
    <t>2025-11-19 18:50:00</t>
  </si>
  <si>
    <t>alex6@yandex.ru</t>
  </si>
  <si>
    <t>P200079</t>
  </si>
  <si>
    <t>2025-11-23 09:04:00</t>
  </si>
  <si>
    <t>maria.s7@yandex.ru</t>
  </si>
  <si>
    <t>P200080</t>
  </si>
  <si>
    <t>2025-11-26 18:56:00</t>
  </si>
  <si>
    <t>donor8@bk.ru</t>
  </si>
  <si>
    <t>P200081</t>
  </si>
  <si>
    <t>2025-11-18 18:35:00</t>
  </si>
  <si>
    <t>ivan.petrov0@mail.ru</t>
  </si>
  <si>
    <t>P200082</t>
  </si>
  <si>
    <t>2025-11-24 16:01:00</t>
  </si>
  <si>
    <t>donor1@mail.ru</t>
  </si>
  <si>
    <t>P200083</t>
  </si>
  <si>
    <t>2025-11-19 18:37:00</t>
  </si>
  <si>
    <t>P200084</t>
  </si>
  <si>
    <t>2025-11-18 15:21:00</t>
  </si>
  <si>
    <t>P200085</t>
  </si>
  <si>
    <t>2025-11-19 12:46:00</t>
  </si>
  <si>
    <t>donor4@bk.ru</t>
  </si>
  <si>
    <t>P200086</t>
  </si>
  <si>
    <t>2025-11-22 14:51:00</t>
  </si>
  <si>
    <t>olga.k5@gmail.com</t>
  </si>
  <si>
    <t>P200087</t>
  </si>
  <si>
    <t>2025-11-23 13:05:00</t>
  </si>
  <si>
    <t>P200088</t>
  </si>
  <si>
    <t>nataly7@yandex.ru</t>
  </si>
  <si>
    <t>P200089</t>
  </si>
  <si>
    <t>2025-11-25 14:50:00</t>
  </si>
  <si>
    <t>donor8@mail.ru</t>
  </si>
  <si>
    <t>purpose_name</t>
  </si>
  <si>
    <t>target_report_group</t>
  </si>
  <si>
    <t>Пансионат Измалково</t>
  </si>
  <si>
    <t>Научный проект НМИЦ</t>
  </si>
  <si>
    <t>SCIENCE</t>
  </si>
  <si>
    <t>Общие пожертвования</t>
  </si>
  <si>
    <t>GENERAL</t>
  </si>
  <si>
    <t>Трансфер/логистика</t>
  </si>
  <si>
    <t>date</t>
  </si>
  <si>
    <t>Total_success_amount</t>
  </si>
  <si>
    <t>Success_count</t>
  </si>
  <si>
    <t>Unique_donors_count</t>
  </si>
  <si>
    <t>IMZ_amount</t>
  </si>
  <si>
    <t xml:space="preserve">SCIENCE_amount </t>
  </si>
  <si>
    <t>GENERAL_amount</t>
  </si>
  <si>
    <t>Общее кол-во строк в таблице</t>
  </si>
  <si>
    <t>Кол-во платежей со статусом success</t>
  </si>
  <si>
    <t>Кол-во платежей со статусом refund</t>
  </si>
  <si>
    <t>Кол-во платежей со статусом fail</t>
  </si>
  <si>
    <t>Пустое поле donor_email</t>
  </si>
  <si>
    <t>Некорректные email</t>
  </si>
  <si>
    <t>Пустое или неполное donor_name</t>
  </si>
  <si>
    <t>Кол-во дубликатов payment_id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</si>
</sst>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 applyFont="1" applyAlignment="1"/>
    <xf numFmtId="0" fontId="2" fillId="2" borderId="1" xfId="0" applyFont="1" applyFill="1" applyBorder="1" applyAlignment="1">
      <alignment horizontal="center" wrapText="1"/>
    </xf>
    <xf numFmtId="0" fontId="3" fillId="0" borderId="0" xfId="0" applyFont="1"/>
    <xf numFmtId="0" fontId="0" fillId="0" borderId="0" xfId="0" applyNumberFormat="1" applyFont="1" applyAlignment="1"/>
    <xf numFmtId="14" fontId="0" fillId="0" borderId="0" xfId="0" applyNumberFormat="1" applyFont="1" applyAlignment="1"/>
    <xf numFmtId="22" fontId="3" fillId="0" borderId="0" xfId="0" applyNumberFormat="1" applyFont="1"/>
    <xf numFmtId="22" fontId="0" fillId="0" borderId="0" xfId="0" applyNumberFormat="1" applyFont="1" applyAlignment="1"/>
    <xf numFmtId="0" fontId="5" fillId="0" borderId="0" xfId="1"/>
    <xf numFmtId="0" fontId="5" fillId="0" borderId="0" xfId="1" applyAlignment="1"/>
    <xf numFmtId="0" fontId="1" fillId="0" borderId="0" xfId="0" applyFont="1"/>
  </cellXfs>
  <cellStyles count="2">
    <cellStyle name="Гиперссылка" xfId="1" builtinId="8"/>
    <cellStyle name="Обычный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10/relationships/person" Target="persons/person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2BB1D697-3FEE-42EC-9D1D-89E94AACE371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8"/>
      <queryTableField id="2" name="Total_success_amount" tableColumnId="2"/>
      <queryTableField id="3" name="Success_count" tableColumnId="3"/>
      <queryTableField id="4" name="Unique_donors_count" tableColumnId="4"/>
      <queryTableField id="5" name="IMZ_amount" tableColumnId="5"/>
      <queryTableField id="6" name="SCIENCE_amount " tableColumnId="6"/>
      <queryTableField id="7" name="GENERAL_amount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00716E-5EC0-4760-9F8F-E477898DF9FD}" name="tbl_payments_raw" displayName="tbl_payments_raw" ref="A1:J100" totalsRowShown="0">
  <autoFilter ref="A1:J100" xr:uid="{8400716E-5EC0-4760-9F8F-E477898DF9FD}"/>
  <tableColumns count="10">
    <tableColumn id="1" xr3:uid="{B4647CD0-1351-4D4E-B7E8-4A065D55467D}" name="payment_id"/>
    <tableColumn id="2" xr3:uid="{579E4091-FBD0-4C9F-953D-31C205EBE5A1}" name="payment_date"/>
    <tableColumn id="3" xr3:uid="{36565B99-43A6-4903-BF07-412BD1A3F57B}" name="amount"/>
    <tableColumn id="4" xr3:uid="{0B162011-4B03-4D3C-A003-2DAD1A680475}" name="currency"/>
    <tableColumn id="5" xr3:uid="{F3C6EBAA-0821-45D6-ADBA-8DDA1BD6436F}" name="channel"/>
    <tableColumn id="6" xr3:uid="{2BBD7549-9A01-4325-BFCD-DEC5E4365241}" name="donor_email"/>
    <tableColumn id="7" xr3:uid="{9DF3614E-523C-45B1-8649-04DA2CC9B42D}" name="donor_name"/>
    <tableColumn id="8" xr3:uid="{3CCA2ACB-41BE-46A7-A312-04F80A4B8A70}" name="purpose_code"/>
    <tableColumn id="9" xr3:uid="{4662201A-5839-4D06-A3FC-C671C99C9375}" name="campaign"/>
    <tableColumn id="10" xr3:uid="{9A1B8B07-2E3F-4070-BB7F-F7B8E542B67D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2E2AD-9371-4ED0-B2E3-450277A2D9FC}" name="payments_aggregates" displayName="payments_aggregates" ref="A1:G11" tableType="queryTable" totalsRowShown="0">
  <autoFilter ref="A1:G11" xr:uid="{6282E2AD-9371-4ED0-B2E3-450277A2D9FC}"/>
  <tableColumns count="7">
    <tableColumn id="8" xr3:uid="{2D8E3104-AA2A-4E9E-8EFB-934A2803E85E}" uniqueName="8" name="date" queryTableFieldId="1" dataDxfId="6"/>
    <tableColumn id="2" xr3:uid="{79268BE3-BD23-4622-8A24-D393ACC071F3}" uniqueName="2" name="Total_success_amount" queryTableFieldId="2" dataDxfId="5"/>
    <tableColumn id="3" xr3:uid="{B294D9A2-0774-4A56-B81A-F1D05131DCC1}" uniqueName="3" name="Success_count" queryTableFieldId="3" dataDxfId="4"/>
    <tableColumn id="4" xr3:uid="{5802226C-7073-4A3B-BF72-6B88206CFD38}" uniqueName="4" name="Unique_donors_count" queryTableFieldId="4" dataDxfId="3"/>
    <tableColumn id="5" xr3:uid="{CFB55826-947A-4792-BCEB-FB0B6E3EB732}" uniqueName="5" name="IMZ_amount" queryTableFieldId="5" dataDxfId="2"/>
    <tableColumn id="6" xr3:uid="{57676720-99D3-46A0-9F38-500B4DD0A373}" uniqueName="6" name="SCIENCE_amount " queryTableFieldId="6" dataDxfId="1"/>
    <tableColumn id="7" xr3:uid="{72F1696C-D173-49B0-8793-D1CD5D70CCB6}" uniqueName="7" name="GENERAL_amount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donor4@bk.r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opLeftCell="B1" workbookViewId="0">
      <pane ySplit="1" topLeftCell="A77" activePane="bottomLeft" state="frozen"/>
      <selection pane="bottomLeft" activeCell="C90" sqref="C90"/>
    </sheetView>
  </sheetViews>
  <sheetFormatPr defaultColWidth="14.453125" defaultRowHeight="15" customHeight="1" x14ac:dyDescent="0.35"/>
  <cols>
    <col min="1" max="10" width="18" customWidth="1"/>
  </cols>
  <sheetData>
    <row r="1" spans="1:10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5" x14ac:dyDescent="0.35">
      <c r="A2" s="2" t="s">
        <v>10</v>
      </c>
      <c r="B2" s="2" t="s">
        <v>11</v>
      </c>
      <c r="C2" s="2">
        <v>5000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J2" s="2" t="s">
        <v>17</v>
      </c>
    </row>
    <row r="3" spans="1:10" ht="14.5" x14ac:dyDescent="0.35">
      <c r="A3" s="2" t="s">
        <v>18</v>
      </c>
      <c r="B3" s="2" t="s">
        <v>19</v>
      </c>
      <c r="C3" s="2">
        <v>5000</v>
      </c>
      <c r="D3" s="2" t="s">
        <v>12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17</v>
      </c>
    </row>
    <row r="4" spans="1:10" ht="14.5" x14ac:dyDescent="0.35">
      <c r="A4" s="2" t="s">
        <v>25</v>
      </c>
      <c r="B4" s="2" t="s">
        <v>26</v>
      </c>
      <c r="C4" s="2">
        <v>2000</v>
      </c>
      <c r="D4" s="2" t="s">
        <v>12</v>
      </c>
      <c r="E4" s="2" t="s">
        <v>13</v>
      </c>
      <c r="F4" s="2" t="s">
        <v>27</v>
      </c>
      <c r="G4" s="2" t="s">
        <v>28</v>
      </c>
      <c r="H4" s="2" t="s">
        <v>16</v>
      </c>
      <c r="I4" s="2" t="s">
        <v>29</v>
      </c>
      <c r="J4" s="2" t="s">
        <v>17</v>
      </c>
    </row>
    <row r="5" spans="1:10" ht="14.5" x14ac:dyDescent="0.35">
      <c r="A5" s="2" t="s">
        <v>30</v>
      </c>
      <c r="B5" s="2" t="s">
        <v>31</v>
      </c>
      <c r="C5" s="2">
        <v>1000</v>
      </c>
      <c r="D5" s="2" t="s">
        <v>12</v>
      </c>
      <c r="E5" s="2" t="s">
        <v>20</v>
      </c>
      <c r="F5" s="2" t="s">
        <v>32</v>
      </c>
      <c r="G5" s="2" t="s">
        <v>22</v>
      </c>
      <c r="H5" s="2" t="s">
        <v>16</v>
      </c>
      <c r="I5" s="2" t="s">
        <v>29</v>
      </c>
      <c r="J5" s="2" t="s">
        <v>17</v>
      </c>
    </row>
    <row r="6" spans="1:10" ht="14.5" x14ac:dyDescent="0.35">
      <c r="A6" s="2" t="s">
        <v>33</v>
      </c>
      <c r="B6" s="2" t="s">
        <v>34</v>
      </c>
      <c r="C6" s="2">
        <v>10000</v>
      </c>
      <c r="D6" s="2" t="s">
        <v>12</v>
      </c>
      <c r="E6" s="2" t="s">
        <v>20</v>
      </c>
      <c r="F6" s="2" t="s">
        <v>35</v>
      </c>
      <c r="G6" s="2" t="s">
        <v>15</v>
      </c>
      <c r="H6" s="2" t="s">
        <v>36</v>
      </c>
      <c r="J6" s="2" t="s">
        <v>17</v>
      </c>
    </row>
    <row r="7" spans="1:10" ht="14.5" x14ac:dyDescent="0.35">
      <c r="A7" s="2" t="s">
        <v>37</v>
      </c>
      <c r="B7" s="2" t="s">
        <v>38</v>
      </c>
      <c r="C7" s="2">
        <v>3000</v>
      </c>
      <c r="D7" s="2" t="s">
        <v>12</v>
      </c>
      <c r="E7" s="2" t="s">
        <v>20</v>
      </c>
      <c r="F7" s="2" t="s">
        <v>39</v>
      </c>
      <c r="G7" s="2" t="s">
        <v>40</v>
      </c>
      <c r="H7" s="2" t="s">
        <v>36</v>
      </c>
      <c r="J7" s="2" t="s">
        <v>41</v>
      </c>
    </row>
    <row r="8" spans="1:10" ht="14.5" x14ac:dyDescent="0.35">
      <c r="A8" s="2" t="s">
        <v>42</v>
      </c>
      <c r="B8" s="2" t="s">
        <v>43</v>
      </c>
      <c r="C8" s="2">
        <v>1000</v>
      </c>
      <c r="D8" s="2" t="s">
        <v>12</v>
      </c>
      <c r="E8" s="2" t="s">
        <v>44</v>
      </c>
      <c r="F8" s="2" t="s">
        <v>45</v>
      </c>
      <c r="G8" s="2" t="s">
        <v>15</v>
      </c>
      <c r="H8" s="2" t="s">
        <v>23</v>
      </c>
      <c r="J8" s="2" t="s">
        <v>17</v>
      </c>
    </row>
    <row r="9" spans="1:10" ht="14.5" x14ac:dyDescent="0.35">
      <c r="A9" s="2" t="s">
        <v>46</v>
      </c>
      <c r="B9" s="2" t="s">
        <v>47</v>
      </c>
      <c r="C9" s="2">
        <v>3000</v>
      </c>
      <c r="D9" s="2" t="s">
        <v>12</v>
      </c>
      <c r="E9" s="2" t="s">
        <v>20</v>
      </c>
      <c r="F9" s="2" t="s">
        <v>48</v>
      </c>
      <c r="G9" s="2" t="s">
        <v>22</v>
      </c>
      <c r="H9" s="2" t="s">
        <v>49</v>
      </c>
      <c r="J9" s="2" t="s">
        <v>50</v>
      </c>
    </row>
    <row r="10" spans="1:10" ht="14.5" x14ac:dyDescent="0.35">
      <c r="A10" s="2" t="s">
        <v>51</v>
      </c>
      <c r="B10" s="2" t="s">
        <v>52</v>
      </c>
      <c r="C10" s="2">
        <v>10000</v>
      </c>
      <c r="D10" s="2" t="s">
        <v>12</v>
      </c>
      <c r="E10" s="2" t="s">
        <v>13</v>
      </c>
      <c r="F10" s="2" t="s">
        <v>53</v>
      </c>
      <c r="G10" s="2" t="s">
        <v>28</v>
      </c>
      <c r="H10" s="2" t="s">
        <v>36</v>
      </c>
      <c r="I10" s="2" t="s">
        <v>54</v>
      </c>
      <c r="J10" s="2" t="s">
        <v>17</v>
      </c>
    </row>
    <row r="11" spans="1:10" ht="14.5" x14ac:dyDescent="0.35">
      <c r="A11" s="2" t="s">
        <v>55</v>
      </c>
      <c r="B11" s="2" t="s">
        <v>56</v>
      </c>
      <c r="C11" s="2">
        <v>700</v>
      </c>
      <c r="D11" s="2" t="s">
        <v>12</v>
      </c>
      <c r="E11" s="2" t="s">
        <v>13</v>
      </c>
      <c r="F11" s="2" t="s">
        <v>57</v>
      </c>
      <c r="G11" s="2" t="s">
        <v>28</v>
      </c>
      <c r="H11" s="2" t="s">
        <v>16</v>
      </c>
      <c r="J11" s="2" t="s">
        <v>17</v>
      </c>
    </row>
    <row r="12" spans="1:10" ht="14.5" x14ac:dyDescent="0.35">
      <c r="A12" s="2" t="s">
        <v>55</v>
      </c>
      <c r="B12" s="2" t="s">
        <v>58</v>
      </c>
      <c r="C12" s="2">
        <v>10000</v>
      </c>
      <c r="D12" s="2" t="s">
        <v>12</v>
      </c>
      <c r="E12" s="2" t="s">
        <v>20</v>
      </c>
      <c r="F12" s="2" t="s">
        <v>59</v>
      </c>
      <c r="G12" s="2" t="s">
        <v>28</v>
      </c>
      <c r="H12" s="2" t="s">
        <v>49</v>
      </c>
      <c r="I12" s="2" t="s">
        <v>24</v>
      </c>
      <c r="J12" s="2" t="s">
        <v>17</v>
      </c>
    </row>
    <row r="13" spans="1:10" ht="14.5" x14ac:dyDescent="0.35">
      <c r="A13" s="2" t="s">
        <v>60</v>
      </c>
      <c r="B13" s="2" t="s">
        <v>61</v>
      </c>
      <c r="C13" s="2">
        <v>1500</v>
      </c>
      <c r="D13" s="2" t="s">
        <v>12</v>
      </c>
      <c r="E13" s="2" t="s">
        <v>62</v>
      </c>
      <c r="F13" s="2" t="s">
        <v>63</v>
      </c>
      <c r="G13" s="2" t="s">
        <v>28</v>
      </c>
      <c r="H13" s="2" t="s">
        <v>49</v>
      </c>
      <c r="I13" s="2" t="s">
        <v>29</v>
      </c>
      <c r="J13" s="2" t="s">
        <v>17</v>
      </c>
    </row>
    <row r="14" spans="1:10" ht="14.5" x14ac:dyDescent="0.35">
      <c r="A14" s="2" t="s">
        <v>64</v>
      </c>
      <c r="B14" s="2" t="s">
        <v>65</v>
      </c>
      <c r="C14" s="2">
        <v>700</v>
      </c>
      <c r="D14" s="2" t="s">
        <v>12</v>
      </c>
      <c r="E14" s="2" t="s">
        <v>62</v>
      </c>
      <c r="F14" s="2" t="s">
        <v>66</v>
      </c>
      <c r="H14" s="2" t="s">
        <v>49</v>
      </c>
      <c r="I14" s="2" t="s">
        <v>29</v>
      </c>
      <c r="J14" s="2" t="s">
        <v>50</v>
      </c>
    </row>
    <row r="15" spans="1:10" ht="14.5" x14ac:dyDescent="0.35">
      <c r="A15" s="2" t="s">
        <v>67</v>
      </c>
      <c r="B15" s="2" t="s">
        <v>68</v>
      </c>
      <c r="C15" s="2">
        <v>1000</v>
      </c>
      <c r="D15" s="2" t="s">
        <v>12</v>
      </c>
      <c r="E15" s="2" t="s">
        <v>13</v>
      </c>
      <c r="F15" s="2" t="s">
        <v>69</v>
      </c>
      <c r="G15" s="2" t="s">
        <v>40</v>
      </c>
      <c r="H15" s="2" t="s">
        <v>70</v>
      </c>
      <c r="I15" s="2" t="s">
        <v>54</v>
      </c>
      <c r="J15" s="2" t="s">
        <v>50</v>
      </c>
    </row>
    <row r="16" spans="1:10" ht="14.5" x14ac:dyDescent="0.35">
      <c r="A16" s="2" t="s">
        <v>71</v>
      </c>
      <c r="B16" s="2" t="s">
        <v>72</v>
      </c>
      <c r="C16" s="2">
        <v>1000</v>
      </c>
      <c r="D16" s="2" t="s">
        <v>12</v>
      </c>
      <c r="E16" s="2" t="s">
        <v>44</v>
      </c>
      <c r="F16" s="2" t="s">
        <v>73</v>
      </c>
      <c r="G16" s="2" t="s">
        <v>15</v>
      </c>
      <c r="H16" s="2" t="s">
        <v>70</v>
      </c>
      <c r="J16" s="2" t="s">
        <v>17</v>
      </c>
    </row>
    <row r="17" spans="1:10" ht="14.5" x14ac:dyDescent="0.35">
      <c r="A17" s="2" t="s">
        <v>74</v>
      </c>
      <c r="B17" s="5">
        <v>45979.726388888892</v>
      </c>
      <c r="C17" s="2">
        <v>10000</v>
      </c>
      <c r="D17" s="2" t="s">
        <v>12</v>
      </c>
      <c r="E17" s="2" t="s">
        <v>20</v>
      </c>
      <c r="F17" s="2" t="s">
        <v>75</v>
      </c>
      <c r="G17" s="2" t="s">
        <v>40</v>
      </c>
      <c r="H17" s="2" t="s">
        <v>16</v>
      </c>
      <c r="J17" s="2" t="s">
        <v>50</v>
      </c>
    </row>
    <row r="18" spans="1:10" ht="14.5" x14ac:dyDescent="0.35">
      <c r="A18" s="2" t="s">
        <v>76</v>
      </c>
      <c r="B18" s="2" t="s">
        <v>77</v>
      </c>
      <c r="C18" s="2">
        <v>5000</v>
      </c>
      <c r="D18" s="2" t="s">
        <v>12</v>
      </c>
      <c r="E18" s="2" t="s">
        <v>62</v>
      </c>
      <c r="F18" s="2" t="s">
        <v>78</v>
      </c>
      <c r="G18" s="2" t="s">
        <v>28</v>
      </c>
      <c r="H18" s="2" t="s">
        <v>70</v>
      </c>
      <c r="J18" s="2" t="s">
        <v>17</v>
      </c>
    </row>
    <row r="19" spans="1:10" ht="14.5" x14ac:dyDescent="0.35">
      <c r="A19" s="2" t="s">
        <v>79</v>
      </c>
      <c r="B19" s="2" t="s">
        <v>80</v>
      </c>
      <c r="C19" s="2">
        <v>3000</v>
      </c>
      <c r="D19" s="2" t="s">
        <v>12</v>
      </c>
      <c r="E19" s="2" t="s">
        <v>44</v>
      </c>
      <c r="F19" s="2" t="s">
        <v>81</v>
      </c>
      <c r="G19" s="2" t="s">
        <v>22</v>
      </c>
      <c r="H19" s="2" t="s">
        <v>36</v>
      </c>
      <c r="I19" s="2" t="s">
        <v>54</v>
      </c>
      <c r="J19" s="2" t="s">
        <v>17</v>
      </c>
    </row>
    <row r="20" spans="1:10" ht="14.5" x14ac:dyDescent="0.35">
      <c r="A20" s="2" t="s">
        <v>82</v>
      </c>
      <c r="B20" s="2" t="s">
        <v>83</v>
      </c>
      <c r="C20" s="2">
        <v>2000</v>
      </c>
      <c r="D20" s="2" t="s">
        <v>12</v>
      </c>
      <c r="E20" s="2" t="s">
        <v>62</v>
      </c>
      <c r="F20" s="2" t="s">
        <v>84</v>
      </c>
      <c r="G20" s="2" t="s">
        <v>28</v>
      </c>
      <c r="H20" s="2" t="s">
        <v>36</v>
      </c>
      <c r="J20" s="2" t="s">
        <v>17</v>
      </c>
    </row>
    <row r="21" spans="1:10" ht="15.75" customHeight="1" x14ac:dyDescent="0.35">
      <c r="A21" s="2" t="s">
        <v>85</v>
      </c>
      <c r="B21" s="2" t="s">
        <v>86</v>
      </c>
      <c r="C21" s="2">
        <v>2000</v>
      </c>
      <c r="D21" s="2" t="s">
        <v>12</v>
      </c>
      <c r="E21" s="2" t="s">
        <v>20</v>
      </c>
      <c r="F21" s="2" t="s">
        <v>87</v>
      </c>
      <c r="G21" s="2" t="s">
        <v>40</v>
      </c>
      <c r="H21" s="2" t="s">
        <v>16</v>
      </c>
      <c r="J21" s="2" t="s">
        <v>50</v>
      </c>
    </row>
    <row r="22" spans="1:10" ht="15.75" customHeight="1" x14ac:dyDescent="0.35">
      <c r="A22" s="2" t="s">
        <v>88</v>
      </c>
      <c r="B22" s="2" t="s">
        <v>89</v>
      </c>
      <c r="C22" s="2">
        <v>2000</v>
      </c>
      <c r="D22" s="2" t="s">
        <v>12</v>
      </c>
      <c r="E22" s="2" t="s">
        <v>62</v>
      </c>
      <c r="F22" s="2" t="s">
        <v>90</v>
      </c>
      <c r="G22" s="2" t="s">
        <v>28</v>
      </c>
      <c r="H22" s="2" t="s">
        <v>36</v>
      </c>
      <c r="J22" s="2" t="s">
        <v>50</v>
      </c>
    </row>
    <row r="23" spans="1:10" ht="15.75" customHeight="1" x14ac:dyDescent="0.35">
      <c r="A23" s="2" t="s">
        <v>91</v>
      </c>
      <c r="B23" s="2" t="s">
        <v>92</v>
      </c>
      <c r="C23" s="2">
        <v>1000</v>
      </c>
      <c r="D23" s="2" t="s">
        <v>12</v>
      </c>
      <c r="E23" s="2" t="s">
        <v>62</v>
      </c>
      <c r="F23" s="2" t="s">
        <v>93</v>
      </c>
      <c r="G23" s="2" t="s">
        <v>40</v>
      </c>
      <c r="H23" s="2" t="s">
        <v>70</v>
      </c>
      <c r="I23" s="2" t="s">
        <v>29</v>
      </c>
      <c r="J23" s="2" t="s">
        <v>41</v>
      </c>
    </row>
    <row r="24" spans="1:10" ht="15.75" customHeight="1" x14ac:dyDescent="0.35">
      <c r="A24" s="2" t="s">
        <v>94</v>
      </c>
      <c r="B24" s="2" t="s">
        <v>95</v>
      </c>
      <c r="C24" s="2">
        <v>3000</v>
      </c>
      <c r="D24" s="2" t="s">
        <v>12</v>
      </c>
      <c r="E24" s="2" t="s">
        <v>44</v>
      </c>
      <c r="F24" s="2" t="s">
        <v>96</v>
      </c>
      <c r="G24" s="2" t="s">
        <v>97</v>
      </c>
      <c r="H24" s="2" t="s">
        <v>98</v>
      </c>
      <c r="J24" s="2" t="s">
        <v>17</v>
      </c>
    </row>
    <row r="25" spans="1:10" ht="15.75" customHeight="1" x14ac:dyDescent="0.35">
      <c r="A25" s="2" t="s">
        <v>99</v>
      </c>
      <c r="B25" s="2" t="s">
        <v>100</v>
      </c>
      <c r="C25" s="2">
        <v>10000</v>
      </c>
      <c r="D25" s="2" t="s">
        <v>12</v>
      </c>
      <c r="E25" s="2" t="s">
        <v>20</v>
      </c>
      <c r="F25" s="2" t="s">
        <v>101</v>
      </c>
      <c r="G25" s="2" t="s">
        <v>15</v>
      </c>
      <c r="H25" s="2" t="s">
        <v>36</v>
      </c>
      <c r="J25" s="2" t="s">
        <v>41</v>
      </c>
    </row>
    <row r="26" spans="1:10" ht="15.75" customHeight="1" x14ac:dyDescent="0.35">
      <c r="A26" s="2" t="s">
        <v>102</v>
      </c>
      <c r="B26" s="2" t="s">
        <v>103</v>
      </c>
      <c r="C26" s="2">
        <v>3000</v>
      </c>
      <c r="D26" s="2" t="s">
        <v>12</v>
      </c>
      <c r="E26" s="2" t="s">
        <v>13</v>
      </c>
      <c r="F26" s="2" t="s">
        <v>104</v>
      </c>
      <c r="G26" s="2" t="s">
        <v>40</v>
      </c>
      <c r="H26" s="2" t="s">
        <v>16</v>
      </c>
      <c r="I26" s="2" t="s">
        <v>54</v>
      </c>
      <c r="J26" s="2" t="s">
        <v>17</v>
      </c>
    </row>
    <row r="27" spans="1:10" ht="15.75" customHeight="1" x14ac:dyDescent="0.35">
      <c r="A27" s="2" t="s">
        <v>105</v>
      </c>
      <c r="B27" s="2" t="s">
        <v>106</v>
      </c>
      <c r="C27" s="2">
        <v>300</v>
      </c>
      <c r="D27" s="2" t="s">
        <v>12</v>
      </c>
      <c r="E27" s="2" t="s">
        <v>20</v>
      </c>
      <c r="F27" s="2" t="s">
        <v>107</v>
      </c>
      <c r="G27" s="2" t="s">
        <v>97</v>
      </c>
      <c r="H27" s="2" t="s">
        <v>16</v>
      </c>
      <c r="J27" s="2" t="s">
        <v>17</v>
      </c>
    </row>
    <row r="28" spans="1:10" ht="15.75" customHeight="1" x14ac:dyDescent="0.35">
      <c r="A28" s="2" t="s">
        <v>108</v>
      </c>
      <c r="B28" s="2" t="s">
        <v>109</v>
      </c>
      <c r="C28" s="2">
        <v>500</v>
      </c>
      <c r="D28" s="2" t="s">
        <v>12</v>
      </c>
      <c r="E28" s="2" t="s">
        <v>20</v>
      </c>
      <c r="F28" s="2" t="s">
        <v>110</v>
      </c>
      <c r="G28" s="2" t="s">
        <v>15</v>
      </c>
      <c r="H28" s="2" t="s">
        <v>16</v>
      </c>
      <c r="I28" s="2" t="s">
        <v>29</v>
      </c>
      <c r="J28" s="2" t="s">
        <v>17</v>
      </c>
    </row>
    <row r="29" spans="1:10" ht="15.75" customHeight="1" x14ac:dyDescent="0.35">
      <c r="A29" s="2" t="s">
        <v>111</v>
      </c>
      <c r="B29" s="2" t="s">
        <v>112</v>
      </c>
      <c r="C29" s="2">
        <v>300</v>
      </c>
      <c r="D29" s="2" t="s">
        <v>12</v>
      </c>
      <c r="E29" s="2" t="s">
        <v>44</v>
      </c>
      <c r="F29" s="2" t="s">
        <v>84</v>
      </c>
      <c r="G29" s="2" t="s">
        <v>97</v>
      </c>
      <c r="H29" s="2" t="s">
        <v>16</v>
      </c>
      <c r="I29" s="2" t="s">
        <v>29</v>
      </c>
      <c r="J29" s="2" t="s">
        <v>17</v>
      </c>
    </row>
    <row r="30" spans="1:10" ht="15.75" customHeight="1" x14ac:dyDescent="0.35">
      <c r="A30" s="2" t="s">
        <v>113</v>
      </c>
      <c r="B30" s="2" t="s">
        <v>114</v>
      </c>
      <c r="C30" s="2">
        <v>2000</v>
      </c>
      <c r="D30" s="2" t="s">
        <v>12</v>
      </c>
      <c r="E30" s="2" t="s">
        <v>44</v>
      </c>
      <c r="F30" s="2" t="s">
        <v>115</v>
      </c>
      <c r="G30" s="2" t="s">
        <v>116</v>
      </c>
      <c r="H30" s="2" t="s">
        <v>49</v>
      </c>
      <c r="J30" s="2" t="s">
        <v>17</v>
      </c>
    </row>
    <row r="31" spans="1:10" ht="15.75" customHeight="1" x14ac:dyDescent="0.35">
      <c r="A31" s="2" t="s">
        <v>117</v>
      </c>
      <c r="B31" s="2" t="s">
        <v>118</v>
      </c>
      <c r="C31" s="2">
        <v>300</v>
      </c>
      <c r="D31" s="2" t="s">
        <v>12</v>
      </c>
      <c r="E31" s="2" t="s">
        <v>20</v>
      </c>
      <c r="F31" s="2" t="s">
        <v>90</v>
      </c>
      <c r="G31" s="2" t="s">
        <v>28</v>
      </c>
      <c r="H31" s="2" t="s">
        <v>49</v>
      </c>
      <c r="J31" s="2" t="s">
        <v>17</v>
      </c>
    </row>
    <row r="32" spans="1:10" ht="15.75" customHeight="1" x14ac:dyDescent="0.35">
      <c r="A32" s="2" t="s">
        <v>119</v>
      </c>
      <c r="B32" s="2" t="s">
        <v>120</v>
      </c>
      <c r="C32" s="2">
        <v>300</v>
      </c>
      <c r="D32" s="2" t="s">
        <v>12</v>
      </c>
      <c r="E32" s="2" t="s">
        <v>20</v>
      </c>
      <c r="F32" s="2" t="s">
        <v>121</v>
      </c>
      <c r="G32" s="2" t="s">
        <v>22</v>
      </c>
      <c r="H32" s="2" t="s">
        <v>49</v>
      </c>
      <c r="I32" s="2" t="s">
        <v>54</v>
      </c>
      <c r="J32" s="2" t="s">
        <v>41</v>
      </c>
    </row>
    <row r="33" spans="1:10" ht="15.75" customHeight="1" x14ac:dyDescent="0.35">
      <c r="A33" s="2" t="s">
        <v>122</v>
      </c>
      <c r="B33" s="2" t="s">
        <v>123</v>
      </c>
      <c r="C33" s="2">
        <v>300</v>
      </c>
      <c r="D33" s="2" t="s">
        <v>12</v>
      </c>
      <c r="E33" s="2" t="s">
        <v>44</v>
      </c>
      <c r="F33" s="2" t="s">
        <v>124</v>
      </c>
      <c r="G33" s="2" t="s">
        <v>40</v>
      </c>
      <c r="H33" s="2" t="s">
        <v>70</v>
      </c>
      <c r="I33" s="2" t="s">
        <v>54</v>
      </c>
      <c r="J33" s="2" t="s">
        <v>50</v>
      </c>
    </row>
    <row r="34" spans="1:10" ht="15.75" customHeight="1" x14ac:dyDescent="0.35">
      <c r="A34" s="2" t="s">
        <v>125</v>
      </c>
      <c r="B34" s="2" t="s">
        <v>126</v>
      </c>
      <c r="C34" s="2">
        <v>700</v>
      </c>
      <c r="D34" s="2" t="s">
        <v>12</v>
      </c>
      <c r="E34" s="2" t="s">
        <v>20</v>
      </c>
      <c r="F34" s="2" t="s">
        <v>127</v>
      </c>
      <c r="G34" s="2" t="s">
        <v>15</v>
      </c>
      <c r="H34" s="2" t="s">
        <v>23</v>
      </c>
      <c r="I34" s="2" t="s">
        <v>54</v>
      </c>
      <c r="J34" s="2" t="s">
        <v>17</v>
      </c>
    </row>
    <row r="35" spans="1:10" ht="15.75" customHeight="1" x14ac:dyDescent="0.35">
      <c r="A35" s="2" t="s">
        <v>128</v>
      </c>
      <c r="B35" s="2" t="s">
        <v>129</v>
      </c>
      <c r="C35" s="2">
        <v>500</v>
      </c>
      <c r="D35" s="2" t="s">
        <v>12</v>
      </c>
      <c r="E35" s="2" t="s">
        <v>44</v>
      </c>
      <c r="F35" s="2" t="s">
        <v>130</v>
      </c>
      <c r="G35" s="2" t="s">
        <v>28</v>
      </c>
      <c r="H35" s="2" t="s">
        <v>36</v>
      </c>
      <c r="I35" s="2" t="s">
        <v>24</v>
      </c>
      <c r="J35" s="2" t="s">
        <v>50</v>
      </c>
    </row>
    <row r="36" spans="1:10" ht="15.75" customHeight="1" x14ac:dyDescent="0.35">
      <c r="A36" s="2" t="s">
        <v>131</v>
      </c>
      <c r="B36" s="2" t="s">
        <v>132</v>
      </c>
      <c r="C36" s="2">
        <v>700</v>
      </c>
      <c r="D36" s="2" t="s">
        <v>12</v>
      </c>
      <c r="E36" s="2" t="s">
        <v>44</v>
      </c>
      <c r="F36" s="2" t="s">
        <v>133</v>
      </c>
      <c r="G36" s="2" t="s">
        <v>22</v>
      </c>
      <c r="H36" s="2" t="s">
        <v>70</v>
      </c>
      <c r="I36" s="2" t="s">
        <v>29</v>
      </c>
      <c r="J36" s="2" t="s">
        <v>17</v>
      </c>
    </row>
    <row r="37" spans="1:10" ht="15.75" customHeight="1" x14ac:dyDescent="0.35">
      <c r="A37" s="2" t="s">
        <v>134</v>
      </c>
      <c r="B37" s="2" t="s">
        <v>135</v>
      </c>
      <c r="C37" s="2">
        <v>5000</v>
      </c>
      <c r="D37" s="2" t="s">
        <v>12</v>
      </c>
      <c r="E37" s="2" t="s">
        <v>20</v>
      </c>
      <c r="F37" s="2" t="s">
        <v>136</v>
      </c>
      <c r="G37" s="2" t="s">
        <v>116</v>
      </c>
      <c r="H37" s="2" t="s">
        <v>70</v>
      </c>
      <c r="I37" s="2" t="s">
        <v>54</v>
      </c>
      <c r="J37" s="2" t="s">
        <v>41</v>
      </c>
    </row>
    <row r="38" spans="1:10" ht="15.75" customHeight="1" x14ac:dyDescent="0.35">
      <c r="A38" s="2" t="s">
        <v>137</v>
      </c>
      <c r="B38" s="2" t="s">
        <v>138</v>
      </c>
      <c r="C38" s="2">
        <v>3000</v>
      </c>
      <c r="D38" s="2" t="s">
        <v>12</v>
      </c>
      <c r="E38" s="2" t="s">
        <v>62</v>
      </c>
      <c r="F38" s="2" t="s">
        <v>139</v>
      </c>
      <c r="G38" s="2" t="s">
        <v>28</v>
      </c>
      <c r="H38" s="2" t="s">
        <v>23</v>
      </c>
      <c r="I38" s="2" t="s">
        <v>29</v>
      </c>
      <c r="J38" s="2" t="s">
        <v>50</v>
      </c>
    </row>
    <row r="39" spans="1:10" ht="15.75" customHeight="1" x14ac:dyDescent="0.35">
      <c r="A39" s="2" t="s">
        <v>140</v>
      </c>
      <c r="B39" s="2" t="s">
        <v>141</v>
      </c>
      <c r="C39" s="2">
        <v>2000</v>
      </c>
      <c r="D39" s="2" t="s">
        <v>12</v>
      </c>
      <c r="E39" s="2" t="s">
        <v>13</v>
      </c>
      <c r="F39" s="2" t="s">
        <v>59</v>
      </c>
      <c r="G39" s="2" t="s">
        <v>116</v>
      </c>
      <c r="H39" s="2" t="s">
        <v>16</v>
      </c>
      <c r="J39" s="2" t="s">
        <v>17</v>
      </c>
    </row>
    <row r="40" spans="1:10" ht="15.75" customHeight="1" x14ac:dyDescent="0.35">
      <c r="A40" s="2" t="s">
        <v>142</v>
      </c>
      <c r="B40" s="2" t="s">
        <v>143</v>
      </c>
      <c r="C40" s="2">
        <v>1500</v>
      </c>
      <c r="D40" s="2" t="s">
        <v>12</v>
      </c>
      <c r="E40" s="2" t="s">
        <v>62</v>
      </c>
      <c r="F40" s="2" t="s">
        <v>144</v>
      </c>
      <c r="G40" s="2" t="s">
        <v>22</v>
      </c>
      <c r="H40" s="2" t="s">
        <v>70</v>
      </c>
      <c r="J40" s="2" t="s">
        <v>17</v>
      </c>
    </row>
    <row r="41" spans="1:10" ht="15.75" customHeight="1" x14ac:dyDescent="0.35">
      <c r="A41" s="2" t="s">
        <v>145</v>
      </c>
      <c r="B41" s="2" t="s">
        <v>146</v>
      </c>
      <c r="C41" s="2">
        <v>500</v>
      </c>
      <c r="D41" s="2" t="s">
        <v>12</v>
      </c>
      <c r="E41" s="2" t="s">
        <v>20</v>
      </c>
      <c r="F41" s="2" t="s">
        <v>147</v>
      </c>
      <c r="G41" s="2" t="s">
        <v>40</v>
      </c>
      <c r="H41" s="2" t="s">
        <v>36</v>
      </c>
      <c r="J41" s="2" t="s">
        <v>17</v>
      </c>
    </row>
    <row r="42" spans="1:10" ht="15.75" customHeight="1" x14ac:dyDescent="0.35">
      <c r="A42" s="2" t="s">
        <v>145</v>
      </c>
      <c r="B42" s="2" t="s">
        <v>132</v>
      </c>
      <c r="C42" s="2">
        <v>1500</v>
      </c>
      <c r="D42" s="2" t="s">
        <v>12</v>
      </c>
      <c r="E42" s="2" t="s">
        <v>44</v>
      </c>
      <c r="F42" s="2" t="s">
        <v>148</v>
      </c>
      <c r="G42" s="2" t="s">
        <v>28</v>
      </c>
      <c r="H42" s="2" t="s">
        <v>70</v>
      </c>
      <c r="J42" s="2" t="s">
        <v>17</v>
      </c>
    </row>
    <row r="43" spans="1:10" ht="15.75" customHeight="1" x14ac:dyDescent="0.35">
      <c r="A43" s="2" t="s">
        <v>149</v>
      </c>
      <c r="B43" s="2" t="s">
        <v>150</v>
      </c>
      <c r="C43" s="2">
        <v>500</v>
      </c>
      <c r="D43" s="2" t="s">
        <v>12</v>
      </c>
      <c r="E43" s="2" t="s">
        <v>20</v>
      </c>
      <c r="F43" s="2" t="s">
        <v>151</v>
      </c>
      <c r="G43" s="2" t="s">
        <v>28</v>
      </c>
      <c r="H43" s="2" t="s">
        <v>49</v>
      </c>
      <c r="J43" s="2" t="s">
        <v>50</v>
      </c>
    </row>
    <row r="44" spans="1:10" ht="15.75" customHeight="1" x14ac:dyDescent="0.35">
      <c r="A44" s="2" t="s">
        <v>152</v>
      </c>
      <c r="B44" s="2" t="s">
        <v>153</v>
      </c>
      <c r="C44" s="2">
        <v>3000</v>
      </c>
      <c r="D44" s="2" t="s">
        <v>12</v>
      </c>
      <c r="E44" s="2" t="s">
        <v>62</v>
      </c>
      <c r="F44" s="2" t="s">
        <v>154</v>
      </c>
      <c r="G44" s="2" t="s">
        <v>40</v>
      </c>
      <c r="H44" s="2" t="s">
        <v>49</v>
      </c>
      <c r="J44" s="2" t="s">
        <v>50</v>
      </c>
    </row>
    <row r="45" spans="1:10" ht="15.75" customHeight="1" x14ac:dyDescent="0.35">
      <c r="A45" s="2" t="s">
        <v>155</v>
      </c>
      <c r="B45" s="2" t="s">
        <v>156</v>
      </c>
      <c r="C45" s="2">
        <v>1000</v>
      </c>
      <c r="D45" s="2" t="s">
        <v>12</v>
      </c>
      <c r="E45" s="2" t="s">
        <v>13</v>
      </c>
      <c r="F45" s="2" t="s">
        <v>157</v>
      </c>
      <c r="G45" s="2" t="s">
        <v>15</v>
      </c>
      <c r="H45" s="2" t="s">
        <v>23</v>
      </c>
      <c r="J45" s="2" t="s">
        <v>41</v>
      </c>
    </row>
    <row r="46" spans="1:10" ht="15.75" customHeight="1" x14ac:dyDescent="0.35">
      <c r="A46" s="2" t="s">
        <v>158</v>
      </c>
      <c r="B46" s="2" t="s">
        <v>159</v>
      </c>
      <c r="C46" s="2">
        <v>2000</v>
      </c>
      <c r="D46" s="2" t="s">
        <v>12</v>
      </c>
      <c r="E46" s="2" t="s">
        <v>13</v>
      </c>
      <c r="F46" s="2" t="s">
        <v>160</v>
      </c>
      <c r="G46" s="2" t="s">
        <v>97</v>
      </c>
      <c r="H46" s="2" t="s">
        <v>23</v>
      </c>
      <c r="I46" s="2" t="s">
        <v>29</v>
      </c>
      <c r="J46" s="2" t="s">
        <v>17</v>
      </c>
    </row>
    <row r="47" spans="1:10" ht="15.75" customHeight="1" x14ac:dyDescent="0.35">
      <c r="A47" s="2" t="s">
        <v>161</v>
      </c>
      <c r="B47" s="2" t="s">
        <v>162</v>
      </c>
      <c r="C47" s="2">
        <v>1000</v>
      </c>
      <c r="D47" s="2" t="s">
        <v>12</v>
      </c>
      <c r="E47" s="2" t="s">
        <v>20</v>
      </c>
      <c r="F47" s="2" t="s">
        <v>163</v>
      </c>
      <c r="G47" s="2" t="s">
        <v>28</v>
      </c>
      <c r="H47" s="2" t="s">
        <v>70</v>
      </c>
      <c r="I47" s="2" t="s">
        <v>29</v>
      </c>
      <c r="J47" s="2" t="s">
        <v>17</v>
      </c>
    </row>
    <row r="48" spans="1:10" ht="15.75" customHeight="1" x14ac:dyDescent="0.35">
      <c r="A48" s="2" t="s">
        <v>164</v>
      </c>
      <c r="B48" s="2" t="s">
        <v>165</v>
      </c>
      <c r="C48" s="2">
        <v>500</v>
      </c>
      <c r="D48" s="2" t="s">
        <v>12</v>
      </c>
      <c r="E48" s="2" t="s">
        <v>62</v>
      </c>
      <c r="F48" s="2" t="s">
        <v>166</v>
      </c>
      <c r="G48" s="2" t="s">
        <v>167</v>
      </c>
      <c r="H48" s="2" t="s">
        <v>49</v>
      </c>
      <c r="I48" s="2" t="s">
        <v>29</v>
      </c>
      <c r="J48" s="2" t="s">
        <v>50</v>
      </c>
    </row>
    <row r="49" spans="1:10" ht="15.75" customHeight="1" x14ac:dyDescent="0.35">
      <c r="A49" s="2" t="s">
        <v>168</v>
      </c>
      <c r="B49" s="2" t="s">
        <v>169</v>
      </c>
      <c r="C49" s="2">
        <v>5000</v>
      </c>
      <c r="D49" s="2" t="s">
        <v>12</v>
      </c>
      <c r="E49" s="2" t="s">
        <v>44</v>
      </c>
      <c r="F49" s="2" t="s">
        <v>170</v>
      </c>
      <c r="G49" s="2" t="s">
        <v>22</v>
      </c>
      <c r="H49" s="2" t="s">
        <v>49</v>
      </c>
      <c r="J49" s="2" t="s">
        <v>17</v>
      </c>
    </row>
    <row r="50" spans="1:10" ht="15.75" customHeight="1" x14ac:dyDescent="0.35">
      <c r="A50" s="2" t="s">
        <v>171</v>
      </c>
      <c r="B50" s="2" t="s">
        <v>172</v>
      </c>
      <c r="C50" s="2">
        <v>3000</v>
      </c>
      <c r="D50" s="2" t="s">
        <v>12</v>
      </c>
      <c r="E50" s="2" t="s">
        <v>13</v>
      </c>
      <c r="F50" s="2" t="s">
        <v>173</v>
      </c>
      <c r="G50" s="2" t="s">
        <v>22</v>
      </c>
      <c r="H50" s="2" t="s">
        <v>23</v>
      </c>
      <c r="I50" s="2" t="s">
        <v>29</v>
      </c>
      <c r="J50" s="2" t="s">
        <v>17</v>
      </c>
    </row>
    <row r="51" spans="1:10" ht="15.75" customHeight="1" x14ac:dyDescent="0.35">
      <c r="A51" s="2" t="s">
        <v>174</v>
      </c>
      <c r="B51" s="2" t="s">
        <v>175</v>
      </c>
      <c r="C51" s="2">
        <v>1000</v>
      </c>
      <c r="D51" s="2" t="s">
        <v>12</v>
      </c>
      <c r="E51" s="2" t="s">
        <v>44</v>
      </c>
      <c r="F51" s="2" t="s">
        <v>148</v>
      </c>
      <c r="G51" s="2" t="s">
        <v>22</v>
      </c>
      <c r="H51" s="2" t="s">
        <v>16</v>
      </c>
      <c r="I51" s="2" t="s">
        <v>54</v>
      </c>
      <c r="J51" s="2" t="s">
        <v>41</v>
      </c>
    </row>
    <row r="52" spans="1:10" ht="15.75" customHeight="1" x14ac:dyDescent="0.35">
      <c r="A52" s="2" t="s">
        <v>176</v>
      </c>
      <c r="B52" s="2" t="s">
        <v>177</v>
      </c>
      <c r="C52" s="2">
        <v>1000</v>
      </c>
      <c r="D52" s="2" t="s">
        <v>12</v>
      </c>
      <c r="E52" s="2" t="s">
        <v>44</v>
      </c>
      <c r="F52" s="2" t="s">
        <v>178</v>
      </c>
      <c r="G52" s="2" t="s">
        <v>40</v>
      </c>
      <c r="H52" s="2" t="s">
        <v>36</v>
      </c>
      <c r="I52" s="2" t="s">
        <v>24</v>
      </c>
      <c r="J52" s="2" t="s">
        <v>41</v>
      </c>
    </row>
    <row r="53" spans="1:10" ht="15.75" customHeight="1" x14ac:dyDescent="0.35">
      <c r="A53" s="2" t="s">
        <v>179</v>
      </c>
      <c r="B53" s="2" t="s">
        <v>180</v>
      </c>
      <c r="C53" s="2">
        <v>5000</v>
      </c>
      <c r="D53" s="2" t="s">
        <v>12</v>
      </c>
      <c r="E53" s="2" t="s">
        <v>62</v>
      </c>
      <c r="F53" s="2" t="s">
        <v>181</v>
      </c>
      <c r="G53" s="2" t="s">
        <v>22</v>
      </c>
      <c r="H53" s="2" t="s">
        <v>70</v>
      </c>
      <c r="J53" s="2" t="s">
        <v>50</v>
      </c>
    </row>
    <row r="54" spans="1:10" ht="15.75" customHeight="1" x14ac:dyDescent="0.35">
      <c r="A54" s="2" t="s">
        <v>182</v>
      </c>
      <c r="B54" s="2" t="s">
        <v>183</v>
      </c>
      <c r="C54" s="2">
        <v>10000</v>
      </c>
      <c r="D54" s="2" t="s">
        <v>12</v>
      </c>
      <c r="E54" s="2" t="s">
        <v>44</v>
      </c>
      <c r="F54" s="2" t="s">
        <v>184</v>
      </c>
      <c r="G54" s="2" t="s">
        <v>116</v>
      </c>
      <c r="H54" s="2" t="s">
        <v>70</v>
      </c>
      <c r="I54" s="2" t="s">
        <v>24</v>
      </c>
      <c r="J54" s="2" t="s">
        <v>50</v>
      </c>
    </row>
    <row r="55" spans="1:10" ht="15.75" customHeight="1" x14ac:dyDescent="0.35">
      <c r="A55" s="2" t="s">
        <v>185</v>
      </c>
      <c r="B55" s="2" t="s">
        <v>186</v>
      </c>
      <c r="C55" s="2">
        <v>10000</v>
      </c>
      <c r="D55" s="2" t="s">
        <v>12</v>
      </c>
      <c r="E55" s="2" t="s">
        <v>62</v>
      </c>
      <c r="F55" s="2" t="s">
        <v>187</v>
      </c>
      <c r="G55" s="2" t="s">
        <v>97</v>
      </c>
      <c r="H55" s="2" t="s">
        <v>70</v>
      </c>
      <c r="I55" s="2" t="s">
        <v>29</v>
      </c>
      <c r="J55" s="2" t="s">
        <v>50</v>
      </c>
    </row>
    <row r="56" spans="1:10" ht="15.75" customHeight="1" x14ac:dyDescent="0.35">
      <c r="A56" s="2" t="s">
        <v>188</v>
      </c>
      <c r="B56" s="2" t="s">
        <v>189</v>
      </c>
      <c r="C56" s="2">
        <v>10000</v>
      </c>
      <c r="D56" s="2" t="s">
        <v>12</v>
      </c>
      <c r="E56" s="2" t="s">
        <v>20</v>
      </c>
      <c r="F56" s="2" t="s">
        <v>190</v>
      </c>
      <c r="G56" s="2" t="s">
        <v>97</v>
      </c>
      <c r="H56" s="2" t="s">
        <v>49</v>
      </c>
      <c r="I56" s="2" t="s">
        <v>24</v>
      </c>
      <c r="J56" s="2" t="s">
        <v>17</v>
      </c>
    </row>
    <row r="57" spans="1:10" ht="15.75" customHeight="1" x14ac:dyDescent="0.35">
      <c r="A57" s="2" t="s">
        <v>191</v>
      </c>
      <c r="B57" s="2" t="s">
        <v>192</v>
      </c>
      <c r="C57" s="2">
        <v>3000</v>
      </c>
      <c r="D57" s="2" t="s">
        <v>12</v>
      </c>
      <c r="E57" s="2" t="s">
        <v>44</v>
      </c>
      <c r="F57" s="2" t="s">
        <v>193</v>
      </c>
      <c r="G57" s="2" t="s">
        <v>22</v>
      </c>
      <c r="H57" s="2" t="s">
        <v>16</v>
      </c>
      <c r="I57" s="2" t="s">
        <v>54</v>
      </c>
      <c r="J57" s="2" t="s">
        <v>17</v>
      </c>
    </row>
    <row r="58" spans="1:10" ht="15.75" customHeight="1" x14ac:dyDescent="0.35">
      <c r="A58" s="2" t="s">
        <v>194</v>
      </c>
      <c r="B58" s="2" t="s">
        <v>195</v>
      </c>
      <c r="C58" s="2">
        <v>300</v>
      </c>
      <c r="D58" s="2" t="s">
        <v>12</v>
      </c>
      <c r="E58" s="2" t="s">
        <v>13</v>
      </c>
      <c r="F58" s="2" t="s">
        <v>63</v>
      </c>
      <c r="G58" s="2" t="s">
        <v>116</v>
      </c>
      <c r="H58" s="2" t="s">
        <v>49</v>
      </c>
      <c r="J58" s="2" t="s">
        <v>17</v>
      </c>
    </row>
    <row r="59" spans="1:10" ht="15.75" customHeight="1" x14ac:dyDescent="0.35">
      <c r="A59" s="2" t="s">
        <v>196</v>
      </c>
      <c r="B59" s="2" t="s">
        <v>197</v>
      </c>
      <c r="C59" s="2">
        <v>500</v>
      </c>
      <c r="D59" s="2" t="s">
        <v>12</v>
      </c>
      <c r="E59" s="2" t="s">
        <v>13</v>
      </c>
      <c r="F59" s="2" t="s">
        <v>198</v>
      </c>
      <c r="G59" s="2" t="s">
        <v>116</v>
      </c>
      <c r="H59" s="2" t="s">
        <v>16</v>
      </c>
      <c r="I59" s="2" t="s">
        <v>29</v>
      </c>
      <c r="J59" s="2" t="s">
        <v>50</v>
      </c>
    </row>
    <row r="60" spans="1:10" ht="15.75" customHeight="1" x14ac:dyDescent="0.35">
      <c r="A60" s="2" t="s">
        <v>199</v>
      </c>
      <c r="B60" s="2" t="s">
        <v>200</v>
      </c>
      <c r="C60" s="2">
        <v>300</v>
      </c>
      <c r="D60" s="2" t="s">
        <v>12</v>
      </c>
      <c r="E60" s="2" t="s">
        <v>62</v>
      </c>
      <c r="F60" s="2" t="s">
        <v>201</v>
      </c>
      <c r="G60" s="2" t="s">
        <v>22</v>
      </c>
      <c r="H60" s="2" t="s">
        <v>70</v>
      </c>
      <c r="J60" s="2" t="s">
        <v>41</v>
      </c>
    </row>
    <row r="61" spans="1:10" ht="15.75" customHeight="1" x14ac:dyDescent="0.35">
      <c r="A61" s="2" t="s">
        <v>202</v>
      </c>
      <c r="B61" s="2" t="s">
        <v>203</v>
      </c>
      <c r="C61" s="2">
        <v>3000</v>
      </c>
      <c r="D61" s="2" t="s">
        <v>12</v>
      </c>
      <c r="E61" s="2" t="s">
        <v>62</v>
      </c>
      <c r="F61" s="2" t="s">
        <v>204</v>
      </c>
      <c r="G61" s="2" t="s">
        <v>40</v>
      </c>
      <c r="H61" s="2" t="s">
        <v>16</v>
      </c>
      <c r="J61" s="2" t="s">
        <v>17</v>
      </c>
    </row>
    <row r="62" spans="1:10" ht="15.75" customHeight="1" x14ac:dyDescent="0.35">
      <c r="A62" s="2" t="s">
        <v>205</v>
      </c>
      <c r="B62" s="2" t="s">
        <v>206</v>
      </c>
      <c r="C62" s="2">
        <v>5000</v>
      </c>
      <c r="D62" s="2" t="s">
        <v>12</v>
      </c>
      <c r="E62" s="2" t="s">
        <v>13</v>
      </c>
      <c r="F62" s="2" t="s">
        <v>207</v>
      </c>
      <c r="G62" s="2" t="s">
        <v>28</v>
      </c>
      <c r="H62" s="2" t="s">
        <v>16</v>
      </c>
      <c r="I62" s="2" t="s">
        <v>29</v>
      </c>
      <c r="J62" s="2" t="s">
        <v>17</v>
      </c>
    </row>
    <row r="63" spans="1:10" ht="15.75" customHeight="1" x14ac:dyDescent="0.35">
      <c r="A63" s="2" t="s">
        <v>208</v>
      </c>
      <c r="B63" s="2" t="s">
        <v>209</v>
      </c>
      <c r="C63" s="2">
        <v>300</v>
      </c>
      <c r="D63" s="2" t="s">
        <v>12</v>
      </c>
      <c r="E63" s="2" t="s">
        <v>44</v>
      </c>
      <c r="F63" s="2" t="s">
        <v>210</v>
      </c>
      <c r="G63" s="2" t="s">
        <v>15</v>
      </c>
      <c r="H63" s="2" t="s">
        <v>70</v>
      </c>
      <c r="I63" s="2" t="s">
        <v>54</v>
      </c>
      <c r="J63" s="2" t="s">
        <v>50</v>
      </c>
    </row>
    <row r="64" spans="1:10" ht="15.75" customHeight="1" x14ac:dyDescent="0.35">
      <c r="A64" s="2" t="s">
        <v>211</v>
      </c>
      <c r="B64" s="2" t="s">
        <v>212</v>
      </c>
      <c r="C64" s="2">
        <v>1500</v>
      </c>
      <c r="D64" s="2" t="s">
        <v>12</v>
      </c>
      <c r="E64" s="2" t="s">
        <v>20</v>
      </c>
      <c r="F64" s="2" t="s">
        <v>213</v>
      </c>
      <c r="G64" s="2" t="s">
        <v>97</v>
      </c>
      <c r="H64" s="2" t="s">
        <v>36</v>
      </c>
      <c r="I64" s="2" t="s">
        <v>29</v>
      </c>
      <c r="J64" s="2" t="s">
        <v>17</v>
      </c>
    </row>
    <row r="65" spans="1:10" ht="15.75" customHeight="1" x14ac:dyDescent="0.35">
      <c r="A65" s="2" t="s">
        <v>214</v>
      </c>
      <c r="B65" s="2" t="s">
        <v>215</v>
      </c>
      <c r="C65" s="2">
        <v>2000</v>
      </c>
      <c r="D65" s="2" t="s">
        <v>12</v>
      </c>
      <c r="E65" s="2" t="s">
        <v>44</v>
      </c>
      <c r="F65" s="2" t="s">
        <v>216</v>
      </c>
      <c r="G65" s="2" t="s">
        <v>28</v>
      </c>
      <c r="H65" s="2" t="s">
        <v>16</v>
      </c>
      <c r="J65" s="2" t="s">
        <v>41</v>
      </c>
    </row>
    <row r="66" spans="1:10" ht="15.75" customHeight="1" x14ac:dyDescent="0.35">
      <c r="A66" s="2" t="s">
        <v>217</v>
      </c>
      <c r="B66" s="2" t="s">
        <v>218</v>
      </c>
      <c r="C66" s="2">
        <v>5000</v>
      </c>
      <c r="D66" s="2" t="s">
        <v>12</v>
      </c>
      <c r="E66" s="2" t="s">
        <v>44</v>
      </c>
      <c r="F66" s="2" t="s">
        <v>219</v>
      </c>
      <c r="G66" s="2" t="s">
        <v>15</v>
      </c>
      <c r="H66" s="2" t="s">
        <v>23</v>
      </c>
      <c r="J66" s="2" t="s">
        <v>41</v>
      </c>
    </row>
    <row r="67" spans="1:10" ht="15.75" customHeight="1" x14ac:dyDescent="0.35">
      <c r="A67" s="2" t="s">
        <v>220</v>
      </c>
      <c r="B67" s="2" t="s">
        <v>221</v>
      </c>
      <c r="C67" s="2">
        <v>2000</v>
      </c>
      <c r="D67" s="2" t="s">
        <v>12</v>
      </c>
      <c r="E67" s="2" t="s">
        <v>62</v>
      </c>
      <c r="F67" s="2" t="s">
        <v>222</v>
      </c>
      <c r="G67" s="2" t="s">
        <v>28</v>
      </c>
      <c r="H67" s="2" t="s">
        <v>49</v>
      </c>
      <c r="I67" s="2" t="s">
        <v>24</v>
      </c>
      <c r="J67" s="2" t="s">
        <v>41</v>
      </c>
    </row>
    <row r="68" spans="1:10" ht="15.75" customHeight="1" x14ac:dyDescent="0.35">
      <c r="A68" s="2" t="s">
        <v>223</v>
      </c>
      <c r="B68" s="2" t="s">
        <v>224</v>
      </c>
      <c r="C68" s="2">
        <v>700</v>
      </c>
      <c r="D68" s="2" t="s">
        <v>12</v>
      </c>
      <c r="E68" s="2" t="s">
        <v>20</v>
      </c>
      <c r="F68" s="2" t="s">
        <v>225</v>
      </c>
      <c r="G68" s="2" t="s">
        <v>28</v>
      </c>
      <c r="H68" s="2" t="s">
        <v>23</v>
      </c>
      <c r="J68" s="2" t="s">
        <v>17</v>
      </c>
    </row>
    <row r="69" spans="1:10" ht="15.75" customHeight="1" x14ac:dyDescent="0.35">
      <c r="A69" s="2" t="s">
        <v>226</v>
      </c>
      <c r="B69" s="2" t="s">
        <v>227</v>
      </c>
      <c r="C69" s="2">
        <v>300</v>
      </c>
      <c r="D69" s="2" t="s">
        <v>12</v>
      </c>
      <c r="E69" s="2" t="s">
        <v>44</v>
      </c>
      <c r="F69" s="2" t="s">
        <v>228</v>
      </c>
      <c r="G69" s="2" t="s">
        <v>28</v>
      </c>
      <c r="H69" s="2" t="s">
        <v>16</v>
      </c>
      <c r="I69" s="2" t="s">
        <v>29</v>
      </c>
      <c r="J69" s="2" t="s">
        <v>17</v>
      </c>
    </row>
    <row r="70" spans="1:10" ht="15.75" customHeight="1" x14ac:dyDescent="0.35">
      <c r="A70" s="2" t="s">
        <v>229</v>
      </c>
      <c r="B70" s="2" t="s">
        <v>230</v>
      </c>
      <c r="C70" s="2">
        <v>300</v>
      </c>
      <c r="D70" s="2" t="s">
        <v>12</v>
      </c>
      <c r="E70" s="2" t="s">
        <v>13</v>
      </c>
      <c r="F70" s="2" t="s">
        <v>231</v>
      </c>
      <c r="G70" s="2" t="s">
        <v>28</v>
      </c>
      <c r="H70" s="2" t="s">
        <v>16</v>
      </c>
      <c r="J70" s="2" t="s">
        <v>50</v>
      </c>
    </row>
    <row r="71" spans="1:10" ht="15.75" customHeight="1" x14ac:dyDescent="0.35">
      <c r="A71" s="2" t="s">
        <v>232</v>
      </c>
      <c r="B71" s="2" t="s">
        <v>233</v>
      </c>
      <c r="C71" s="2">
        <v>300</v>
      </c>
      <c r="D71" s="2" t="s">
        <v>12</v>
      </c>
      <c r="E71" s="2" t="s">
        <v>13</v>
      </c>
      <c r="F71" s="2" t="s">
        <v>207</v>
      </c>
      <c r="G71" s="2" t="s">
        <v>116</v>
      </c>
      <c r="H71" s="2" t="s">
        <v>16</v>
      </c>
      <c r="I71" s="2" t="s">
        <v>29</v>
      </c>
      <c r="J71" s="2" t="s">
        <v>50</v>
      </c>
    </row>
    <row r="72" spans="1:10" ht="15.75" customHeight="1" x14ac:dyDescent="0.35">
      <c r="A72" s="2" t="s">
        <v>234</v>
      </c>
      <c r="B72" s="2" t="s">
        <v>235</v>
      </c>
      <c r="C72" s="2">
        <v>700</v>
      </c>
      <c r="D72" s="2" t="s">
        <v>12</v>
      </c>
      <c r="E72" s="2" t="s">
        <v>13</v>
      </c>
      <c r="F72" s="2" t="s">
        <v>210</v>
      </c>
      <c r="G72" s="2" t="s">
        <v>28</v>
      </c>
      <c r="H72" s="2" t="s">
        <v>36</v>
      </c>
      <c r="I72" s="2" t="s">
        <v>54</v>
      </c>
      <c r="J72" s="2" t="s">
        <v>50</v>
      </c>
    </row>
    <row r="73" spans="1:10" ht="15.75" customHeight="1" x14ac:dyDescent="0.35">
      <c r="A73" s="2" t="s">
        <v>236</v>
      </c>
      <c r="B73" s="2" t="s">
        <v>237</v>
      </c>
      <c r="C73" s="2">
        <v>5000</v>
      </c>
      <c r="D73" s="2" t="s">
        <v>12</v>
      </c>
      <c r="E73" s="2" t="s">
        <v>20</v>
      </c>
      <c r="F73" s="2" t="s">
        <v>238</v>
      </c>
      <c r="G73" s="2" t="s">
        <v>15</v>
      </c>
      <c r="H73" s="2" t="s">
        <v>23</v>
      </c>
      <c r="I73" s="2" t="s">
        <v>29</v>
      </c>
      <c r="J73" s="2" t="s">
        <v>17</v>
      </c>
    </row>
    <row r="74" spans="1:10" ht="15.75" customHeight="1" x14ac:dyDescent="0.35">
      <c r="A74" s="2" t="s">
        <v>239</v>
      </c>
      <c r="B74" s="2" t="s">
        <v>240</v>
      </c>
      <c r="C74" s="2">
        <v>2000</v>
      </c>
      <c r="D74" s="2" t="s">
        <v>12</v>
      </c>
      <c r="E74" s="2" t="s">
        <v>20</v>
      </c>
      <c r="F74" s="2" t="s">
        <v>241</v>
      </c>
      <c r="G74" s="2" t="s">
        <v>116</v>
      </c>
      <c r="H74" s="2" t="s">
        <v>16</v>
      </c>
      <c r="J74" s="2" t="s">
        <v>50</v>
      </c>
    </row>
    <row r="75" spans="1:10" ht="15.75" customHeight="1" x14ac:dyDescent="0.35">
      <c r="A75" s="2" t="s">
        <v>242</v>
      </c>
      <c r="B75" s="2" t="s">
        <v>243</v>
      </c>
      <c r="C75" s="2">
        <v>700</v>
      </c>
      <c r="D75" s="2" t="s">
        <v>12</v>
      </c>
      <c r="E75" s="2" t="s">
        <v>62</v>
      </c>
      <c r="F75" s="2" t="s">
        <v>244</v>
      </c>
      <c r="G75" s="2" t="s">
        <v>97</v>
      </c>
      <c r="H75" s="2" t="s">
        <v>23</v>
      </c>
      <c r="J75" s="2" t="s">
        <v>17</v>
      </c>
    </row>
    <row r="76" spans="1:10" ht="15.75" customHeight="1" x14ac:dyDescent="0.35">
      <c r="A76" s="2" t="s">
        <v>245</v>
      </c>
      <c r="B76" s="2" t="s">
        <v>246</v>
      </c>
      <c r="C76" s="2">
        <v>500</v>
      </c>
      <c r="D76" s="2" t="s">
        <v>12</v>
      </c>
      <c r="E76" s="2" t="s">
        <v>20</v>
      </c>
      <c r="F76" s="2" t="s">
        <v>247</v>
      </c>
      <c r="G76" s="2" t="s">
        <v>28</v>
      </c>
      <c r="H76" s="2" t="s">
        <v>70</v>
      </c>
      <c r="J76" s="2" t="s">
        <v>17</v>
      </c>
    </row>
    <row r="77" spans="1:10" ht="15.75" customHeight="1" x14ac:dyDescent="0.35">
      <c r="A77" s="2" t="s">
        <v>248</v>
      </c>
      <c r="B77" s="2" t="s">
        <v>249</v>
      </c>
      <c r="C77" s="2">
        <v>1000</v>
      </c>
      <c r="D77" s="2" t="s">
        <v>12</v>
      </c>
      <c r="E77" s="2" t="s">
        <v>44</v>
      </c>
      <c r="F77" s="2" t="s">
        <v>250</v>
      </c>
      <c r="G77" s="2" t="s">
        <v>28</v>
      </c>
      <c r="H77" s="2" t="s">
        <v>70</v>
      </c>
      <c r="J77" s="2" t="s">
        <v>50</v>
      </c>
    </row>
    <row r="78" spans="1:10" ht="15.75" customHeight="1" x14ac:dyDescent="0.35">
      <c r="A78" s="2" t="s">
        <v>251</v>
      </c>
      <c r="B78" s="2" t="s">
        <v>252</v>
      </c>
      <c r="C78" s="2">
        <v>500</v>
      </c>
      <c r="D78" s="2" t="s">
        <v>12</v>
      </c>
      <c r="E78" s="2" t="s">
        <v>13</v>
      </c>
      <c r="F78" s="2" t="s">
        <v>253</v>
      </c>
      <c r="G78" s="2" t="s">
        <v>40</v>
      </c>
      <c r="H78" s="2" t="s">
        <v>16</v>
      </c>
      <c r="J78" s="2" t="s">
        <v>17</v>
      </c>
    </row>
    <row r="79" spans="1:10" ht="15.75" customHeight="1" x14ac:dyDescent="0.35">
      <c r="A79" s="2" t="s">
        <v>254</v>
      </c>
      <c r="B79" s="2" t="s">
        <v>255</v>
      </c>
      <c r="C79" s="2">
        <v>2000</v>
      </c>
      <c r="D79" s="2" t="s">
        <v>12</v>
      </c>
      <c r="E79" s="2" t="s">
        <v>20</v>
      </c>
      <c r="F79" s="2" t="s">
        <v>256</v>
      </c>
      <c r="G79" s="2" t="s">
        <v>97</v>
      </c>
      <c r="H79" s="2" t="s">
        <v>36</v>
      </c>
      <c r="I79" s="2" t="s">
        <v>54</v>
      </c>
      <c r="J79" s="2" t="s">
        <v>17</v>
      </c>
    </row>
    <row r="80" spans="1:10" ht="15.75" customHeight="1" x14ac:dyDescent="0.35">
      <c r="A80" s="2" t="s">
        <v>257</v>
      </c>
      <c r="B80" s="2" t="s">
        <v>258</v>
      </c>
      <c r="C80" s="2">
        <v>700</v>
      </c>
      <c r="D80" s="2" t="s">
        <v>12</v>
      </c>
      <c r="E80" s="2" t="s">
        <v>13</v>
      </c>
      <c r="F80" s="2" t="s">
        <v>259</v>
      </c>
      <c r="G80" s="2" t="s">
        <v>97</v>
      </c>
      <c r="H80" s="2" t="s">
        <v>23</v>
      </c>
      <c r="J80" s="2" t="s">
        <v>50</v>
      </c>
    </row>
    <row r="81" spans="1:10" ht="15.75" customHeight="1" x14ac:dyDescent="0.35">
      <c r="A81" s="2" t="s">
        <v>260</v>
      </c>
      <c r="B81" s="2" t="s">
        <v>261</v>
      </c>
      <c r="C81" s="2">
        <v>10000</v>
      </c>
      <c r="D81" s="2" t="s">
        <v>12</v>
      </c>
      <c r="E81" s="2" t="s">
        <v>20</v>
      </c>
      <c r="F81" s="2" t="s">
        <v>262</v>
      </c>
      <c r="G81" s="2" t="s">
        <v>15</v>
      </c>
      <c r="H81" s="2" t="s">
        <v>36</v>
      </c>
      <c r="I81" s="2" t="s">
        <v>29</v>
      </c>
      <c r="J81" s="2" t="s">
        <v>50</v>
      </c>
    </row>
    <row r="82" spans="1:10" ht="15.75" customHeight="1" x14ac:dyDescent="0.35">
      <c r="A82" s="2" t="s">
        <v>263</v>
      </c>
      <c r="B82" s="2" t="s">
        <v>264</v>
      </c>
      <c r="C82" s="2">
        <v>1000</v>
      </c>
      <c r="D82" s="2" t="s">
        <v>12</v>
      </c>
      <c r="E82" s="2" t="s">
        <v>44</v>
      </c>
      <c r="F82" s="2" t="s">
        <v>265</v>
      </c>
      <c r="G82" s="2" t="s">
        <v>116</v>
      </c>
      <c r="H82" s="2" t="s">
        <v>36</v>
      </c>
      <c r="I82" s="2" t="s">
        <v>54</v>
      </c>
      <c r="J82" s="9" t="s">
        <v>17</v>
      </c>
    </row>
    <row r="83" spans="1:10" ht="15.75" customHeight="1" x14ac:dyDescent="0.35">
      <c r="A83" s="2" t="s">
        <v>266</v>
      </c>
      <c r="B83" s="2" t="s">
        <v>267</v>
      </c>
      <c r="C83" s="2">
        <v>300</v>
      </c>
      <c r="D83" s="2" t="s">
        <v>12</v>
      </c>
      <c r="E83" s="2" t="s">
        <v>20</v>
      </c>
      <c r="F83" s="2" t="s">
        <v>268</v>
      </c>
      <c r="G83" s="2" t="s">
        <v>22</v>
      </c>
      <c r="H83" s="2" t="s">
        <v>70</v>
      </c>
      <c r="J83" s="2" t="s">
        <v>17</v>
      </c>
    </row>
    <row r="84" spans="1:10" ht="15.75" customHeight="1" x14ac:dyDescent="0.35">
      <c r="A84" s="2" t="s">
        <v>269</v>
      </c>
      <c r="B84" s="2" t="s">
        <v>270</v>
      </c>
      <c r="C84" s="2">
        <v>5000</v>
      </c>
      <c r="D84" s="2" t="s">
        <v>12</v>
      </c>
      <c r="E84" s="2" t="s">
        <v>62</v>
      </c>
      <c r="F84" s="2" t="s">
        <v>271</v>
      </c>
      <c r="G84" s="2" t="s">
        <v>116</v>
      </c>
      <c r="H84" s="2" t="s">
        <v>16</v>
      </c>
      <c r="I84" s="2" t="s">
        <v>29</v>
      </c>
      <c r="J84" s="2" t="s">
        <v>50</v>
      </c>
    </row>
    <row r="85" spans="1:10" ht="15.75" customHeight="1" x14ac:dyDescent="0.35">
      <c r="A85" s="2" t="s">
        <v>272</v>
      </c>
      <c r="B85" s="2" t="s">
        <v>273</v>
      </c>
      <c r="C85" s="2">
        <v>700</v>
      </c>
      <c r="D85" s="2" t="s">
        <v>12</v>
      </c>
      <c r="E85" s="2" t="s">
        <v>62</v>
      </c>
      <c r="F85" s="2" t="s">
        <v>90</v>
      </c>
      <c r="G85" s="2" t="s">
        <v>28</v>
      </c>
      <c r="H85" s="2" t="s">
        <v>49</v>
      </c>
      <c r="J85" s="2" t="s">
        <v>17</v>
      </c>
    </row>
    <row r="86" spans="1:10" ht="15.75" customHeight="1" x14ac:dyDescent="0.35">
      <c r="A86" s="2" t="s">
        <v>274</v>
      </c>
      <c r="B86" s="2" t="s">
        <v>275</v>
      </c>
      <c r="C86" s="2">
        <v>10000</v>
      </c>
      <c r="D86" s="2" t="s">
        <v>12</v>
      </c>
      <c r="E86" s="2" t="s">
        <v>13</v>
      </c>
      <c r="G86" s="2" t="s">
        <v>28</v>
      </c>
      <c r="H86" s="2" t="s">
        <v>70</v>
      </c>
      <c r="J86" s="2" t="s">
        <v>17</v>
      </c>
    </row>
    <row r="87" spans="1:10" ht="15.75" customHeight="1" x14ac:dyDescent="0.35">
      <c r="A87" s="2" t="s">
        <v>276</v>
      </c>
      <c r="B87" s="2" t="s">
        <v>277</v>
      </c>
      <c r="C87" s="2">
        <v>2000</v>
      </c>
      <c r="D87" s="2" t="s">
        <v>12</v>
      </c>
      <c r="E87" s="2" t="s">
        <v>44</v>
      </c>
      <c r="F87" s="7" t="s">
        <v>278</v>
      </c>
      <c r="G87" s="2" t="s">
        <v>28</v>
      </c>
      <c r="H87" s="2" t="s">
        <v>70</v>
      </c>
      <c r="J87" s="2" t="s">
        <v>17</v>
      </c>
    </row>
    <row r="88" spans="1:10" ht="15.75" customHeight="1" x14ac:dyDescent="0.35">
      <c r="A88" s="2" t="s">
        <v>279</v>
      </c>
      <c r="B88" s="2" t="s">
        <v>280</v>
      </c>
      <c r="C88" s="2">
        <v>500</v>
      </c>
      <c r="D88" s="2" t="s">
        <v>12</v>
      </c>
      <c r="E88" s="2" t="s">
        <v>62</v>
      </c>
      <c r="F88" s="2" t="s">
        <v>281</v>
      </c>
      <c r="G88" s="2" t="s">
        <v>116</v>
      </c>
      <c r="H88" s="2" t="s">
        <v>49</v>
      </c>
      <c r="I88" s="2" t="s">
        <v>54</v>
      </c>
      <c r="J88" s="2" t="s">
        <v>50</v>
      </c>
    </row>
    <row r="89" spans="1:10" ht="15.75" customHeight="1" x14ac:dyDescent="0.35">
      <c r="A89" s="2" t="s">
        <v>282</v>
      </c>
      <c r="B89" s="2" t="s">
        <v>283</v>
      </c>
      <c r="C89" s="2">
        <v>2000</v>
      </c>
      <c r="D89" s="2" t="s">
        <v>12</v>
      </c>
      <c r="E89" s="2" t="s">
        <v>62</v>
      </c>
      <c r="F89" s="2" t="s">
        <v>154</v>
      </c>
      <c r="G89" s="2" t="s">
        <v>40</v>
      </c>
      <c r="H89" s="2" t="s">
        <v>36</v>
      </c>
      <c r="J89" s="2" t="s">
        <v>17</v>
      </c>
    </row>
    <row r="90" spans="1:10" ht="15.75" customHeight="1" x14ac:dyDescent="0.35">
      <c r="A90" s="2" t="s">
        <v>284</v>
      </c>
      <c r="B90" s="2" t="s">
        <v>19</v>
      </c>
      <c r="C90" s="2">
        <v>1555500</v>
      </c>
      <c r="D90" s="2" t="s">
        <v>12</v>
      </c>
      <c r="E90" s="2" t="s">
        <v>62</v>
      </c>
      <c r="F90" s="2" t="s">
        <v>285</v>
      </c>
      <c r="G90" s="2" t="s">
        <v>97</v>
      </c>
      <c r="H90" s="2" t="s">
        <v>70</v>
      </c>
      <c r="I90" s="2" t="s">
        <v>54</v>
      </c>
      <c r="J90" s="2" t="s">
        <v>17</v>
      </c>
    </row>
    <row r="91" spans="1:10" ht="15.75" customHeight="1" x14ac:dyDescent="0.35">
      <c r="A91" s="2" t="s">
        <v>286</v>
      </c>
      <c r="B91" s="2" t="s">
        <v>287</v>
      </c>
      <c r="C91" s="2">
        <v>10000</v>
      </c>
      <c r="D91" s="2" t="s">
        <v>12</v>
      </c>
      <c r="E91" s="2" t="s">
        <v>44</v>
      </c>
      <c r="F91" s="2" t="s">
        <v>288</v>
      </c>
      <c r="G91" s="2" t="s">
        <v>15</v>
      </c>
      <c r="H91" s="2" t="s">
        <v>16</v>
      </c>
      <c r="I91" s="2" t="s">
        <v>24</v>
      </c>
      <c r="J91" s="2" t="s">
        <v>50</v>
      </c>
    </row>
    <row r="92" spans="1:10" ht="15.75" customHeight="1" x14ac:dyDescent="0.35"/>
    <row r="93" spans="1:10" ht="15.75" customHeight="1" x14ac:dyDescent="0.35">
      <c r="B93" s="6"/>
      <c r="F93" s="8"/>
    </row>
    <row r="94" spans="1:10" ht="15.75" customHeight="1" x14ac:dyDescent="0.35"/>
    <row r="95" spans="1:10" ht="15.75" customHeight="1" x14ac:dyDescent="0.35"/>
    <row r="96" spans="1:10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hyperlinks>
    <hyperlink ref="F87" r:id="rId1" xr:uid="{7D83BFA8-D84B-4FEA-B070-2F4DD5EFB038}"/>
  </hyperlinks>
  <pageMargins left="0.75" right="0.75" top="1" bottom="1" header="0" footer="0"/>
  <pageSetup orientation="landscape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8A33-4370-4EF8-81F3-4AF5BFEF7C89}">
  <dimension ref="A1:B10"/>
  <sheetViews>
    <sheetView workbookViewId="0">
      <selection activeCell="B2" sqref="B2"/>
    </sheetView>
  </sheetViews>
  <sheetFormatPr defaultRowHeight="14.5" x14ac:dyDescent="0.35"/>
  <cols>
    <col min="1" max="1" width="33" bestFit="1" customWidth="1"/>
  </cols>
  <sheetData>
    <row r="1" spans="1:2" x14ac:dyDescent="0.35">
      <c r="A1" t="s">
        <v>304</v>
      </c>
      <c r="B1">
        <f>COUNTA(payments_raw!A2:A91)</f>
        <v>90</v>
      </c>
    </row>
    <row r="2" spans="1:2" x14ac:dyDescent="0.35">
      <c r="A2" t="s">
        <v>305</v>
      </c>
      <c r="B2">
        <f>COUNTIF(payments_raw!J:J, "success")</f>
        <v>51</v>
      </c>
    </row>
    <row r="3" spans="1:2" x14ac:dyDescent="0.35">
      <c r="A3" t="s">
        <v>306</v>
      </c>
      <c r="B3">
        <f>COUNTIF(payments_raw!J:J, "refund")</f>
        <v>12</v>
      </c>
    </row>
    <row r="4" spans="1:2" x14ac:dyDescent="0.35">
      <c r="A4" t="s">
        <v>307</v>
      </c>
      <c r="B4">
        <f>COUNTIF(payments_raw!J:J, "fail")</f>
        <v>27</v>
      </c>
    </row>
    <row r="7" spans="1:2" x14ac:dyDescent="0.35">
      <c r="A7" t="s">
        <v>308</v>
      </c>
      <c r="B7">
        <f>COUNTBLANK(payments_raw!F2:F91)</f>
        <v>1</v>
      </c>
    </row>
    <row r="8" spans="1:2" x14ac:dyDescent="0.35">
      <c r="A8" t="s">
        <v>309</v>
      </c>
      <c r="B8">
        <f>COUNTIF(payments_raw!F2:F91, "&lt;&gt;*@*")</f>
        <v>3</v>
      </c>
    </row>
    <row r="9" spans="1:2" x14ac:dyDescent="0.35">
      <c r="A9" t="s">
        <v>310</v>
      </c>
      <c r="B9">
        <f>COUNTIF(payments_raw!G2:G91, "") + COUNTIF(payments_raw!G2:G91, "?")</f>
        <v>2</v>
      </c>
    </row>
    <row r="10" spans="1:2" x14ac:dyDescent="0.35">
      <c r="A10" t="s">
        <v>311</v>
      </c>
      <c r="B10">
        <f>COUNTA(payments_raw!A2:A91) - SUMPRODUCT(1/COUNTIF(payments_raw!A2:A91,payments_raw!A2:A91))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8B5FB-B93D-4BF1-9EE0-60B1224A7E75}">
  <dimension ref="A1:G11"/>
  <sheetViews>
    <sheetView workbookViewId="0">
      <selection activeCell="D14" sqref="D14"/>
    </sheetView>
  </sheetViews>
  <sheetFormatPr defaultRowHeight="14.5" x14ac:dyDescent="0.35"/>
  <cols>
    <col min="1" max="1" width="9.90625" bestFit="1" customWidth="1"/>
    <col min="2" max="2" width="22.36328125" bestFit="1" customWidth="1"/>
    <col min="3" max="3" width="15.26953125" bestFit="1" customWidth="1"/>
    <col min="4" max="4" width="22" bestFit="1" customWidth="1"/>
    <col min="5" max="5" width="14" bestFit="1" customWidth="1"/>
    <col min="6" max="6" width="18.1796875" bestFit="1" customWidth="1"/>
    <col min="7" max="7" width="18.453125" bestFit="1" customWidth="1"/>
  </cols>
  <sheetData>
    <row r="1" spans="1:7" x14ac:dyDescent="0.35">
      <c r="A1" s="3" t="s">
        <v>297</v>
      </c>
      <c r="B1" s="3" t="s">
        <v>298</v>
      </c>
      <c r="C1" s="3" t="s">
        <v>299</v>
      </c>
      <c r="D1" s="3" t="s">
        <v>300</v>
      </c>
      <c r="E1" s="3" t="s">
        <v>301</v>
      </c>
      <c r="F1" s="3" t="s">
        <v>302</v>
      </c>
      <c r="G1" s="3" t="s">
        <v>303</v>
      </c>
    </row>
    <row r="2" spans="1:7" x14ac:dyDescent="0.35">
      <c r="A2" s="4">
        <v>45979</v>
      </c>
      <c r="B2" s="3">
        <v>20300</v>
      </c>
      <c r="C2" s="3">
        <v>6</v>
      </c>
      <c r="D2" s="3">
        <v>5</v>
      </c>
      <c r="E2" s="3">
        <v>2000</v>
      </c>
      <c r="F2" s="3">
        <v>2000</v>
      </c>
      <c r="G2" s="3">
        <v>16300</v>
      </c>
    </row>
    <row r="3" spans="1:7" x14ac:dyDescent="0.35">
      <c r="A3" s="4">
        <v>45980</v>
      </c>
      <c r="B3" s="3">
        <v>5300</v>
      </c>
      <c r="C3" s="3">
        <v>7</v>
      </c>
      <c r="D3" s="3">
        <v>6</v>
      </c>
      <c r="E3" s="3">
        <v>0</v>
      </c>
      <c r="F3" s="3">
        <v>1000</v>
      </c>
      <c r="G3" s="3">
        <v>4300</v>
      </c>
    </row>
    <row r="4" spans="1:7" x14ac:dyDescent="0.35">
      <c r="A4" s="4">
        <v>45981</v>
      </c>
      <c r="B4" s="3">
        <v>16700</v>
      </c>
      <c r="C4" s="3">
        <v>8</v>
      </c>
      <c r="D4" s="3">
        <v>8</v>
      </c>
      <c r="E4" s="3">
        <v>0</v>
      </c>
      <c r="F4" s="3">
        <v>3700</v>
      </c>
      <c r="G4" s="3">
        <v>13000</v>
      </c>
    </row>
    <row r="5" spans="1:7" x14ac:dyDescent="0.35">
      <c r="A5" s="4">
        <v>45982</v>
      </c>
      <c r="B5" s="3">
        <v>5300</v>
      </c>
      <c r="C5" s="3">
        <v>2</v>
      </c>
      <c r="D5" s="3">
        <v>2</v>
      </c>
      <c r="E5" s="3">
        <v>0</v>
      </c>
      <c r="F5" s="3">
        <v>5000</v>
      </c>
      <c r="G5" s="3">
        <v>300</v>
      </c>
    </row>
    <row r="6" spans="1:7" x14ac:dyDescent="0.35">
      <c r="A6" s="4">
        <v>45983</v>
      </c>
      <c r="B6" s="3">
        <v>18200</v>
      </c>
      <c r="C6" s="3">
        <v>7</v>
      </c>
      <c r="D6" s="3">
        <v>7</v>
      </c>
      <c r="E6" s="3">
        <v>1500</v>
      </c>
      <c r="F6" s="3">
        <v>1400</v>
      </c>
      <c r="G6" s="3">
        <v>15300</v>
      </c>
    </row>
    <row r="7" spans="1:7" x14ac:dyDescent="0.35">
      <c r="A7" s="4">
        <v>45984</v>
      </c>
      <c r="B7" s="3">
        <v>4000</v>
      </c>
      <c r="C7" s="3">
        <v>2</v>
      </c>
      <c r="D7" s="3">
        <v>2</v>
      </c>
      <c r="E7" s="3">
        <v>2000</v>
      </c>
      <c r="F7" s="3">
        <v>0</v>
      </c>
      <c r="G7" s="3">
        <v>2000</v>
      </c>
    </row>
    <row r="8" spans="1:7" x14ac:dyDescent="0.35">
      <c r="A8" s="4">
        <v>45985</v>
      </c>
      <c r="B8" s="3">
        <v>20500</v>
      </c>
      <c r="C8" s="3">
        <v>5</v>
      </c>
      <c r="D8" s="3">
        <v>5</v>
      </c>
      <c r="E8" s="3">
        <v>12500</v>
      </c>
      <c r="F8" s="3">
        <v>0</v>
      </c>
      <c r="G8" s="3">
        <v>8000</v>
      </c>
    </row>
    <row r="9" spans="1:7" x14ac:dyDescent="0.35">
      <c r="A9" s="4">
        <v>45986</v>
      </c>
      <c r="B9" s="3">
        <v>1573000</v>
      </c>
      <c r="C9" s="3">
        <v>6</v>
      </c>
      <c r="D9" s="3">
        <v>6</v>
      </c>
      <c r="E9" s="3">
        <v>10000</v>
      </c>
      <c r="F9" s="3">
        <v>5000</v>
      </c>
      <c r="G9" s="3">
        <v>1558000</v>
      </c>
    </row>
    <row r="10" spans="1:7" x14ac:dyDescent="0.35">
      <c r="A10" s="4">
        <v>45987</v>
      </c>
      <c r="B10" s="3">
        <v>15000</v>
      </c>
      <c r="C10" s="3">
        <v>4</v>
      </c>
      <c r="D10" s="3">
        <v>4</v>
      </c>
      <c r="E10" s="3">
        <v>1000</v>
      </c>
      <c r="F10" s="3">
        <v>0</v>
      </c>
      <c r="G10" s="3">
        <v>14000</v>
      </c>
    </row>
    <row r="11" spans="1:7" x14ac:dyDescent="0.35">
      <c r="A11" s="4">
        <v>45988</v>
      </c>
      <c r="B11" s="3">
        <v>10200</v>
      </c>
      <c r="C11" s="3">
        <v>4</v>
      </c>
      <c r="D11" s="3">
        <v>4</v>
      </c>
      <c r="E11" s="3">
        <v>3000</v>
      </c>
      <c r="F11" s="3">
        <v>0</v>
      </c>
      <c r="G11" s="3">
        <v>7200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14.453125" defaultRowHeight="15" customHeight="1" x14ac:dyDescent="0.35"/>
  <cols>
    <col min="1" max="1" width="18" customWidth="1"/>
    <col min="2" max="2" width="31.453125" customWidth="1"/>
    <col min="3" max="3" width="42.7265625" customWidth="1"/>
    <col min="4" max="26" width="8.7265625" customWidth="1"/>
  </cols>
  <sheetData>
    <row r="1" spans="1:3" ht="14.5" x14ac:dyDescent="0.35">
      <c r="A1" s="1" t="s">
        <v>7</v>
      </c>
      <c r="B1" s="1" t="s">
        <v>289</v>
      </c>
      <c r="C1" s="1" t="s">
        <v>290</v>
      </c>
    </row>
    <row r="2" spans="1:3" ht="14.5" x14ac:dyDescent="0.35">
      <c r="A2" s="2" t="s">
        <v>36</v>
      </c>
      <c r="B2" s="2" t="s">
        <v>291</v>
      </c>
      <c r="C2" s="2" t="s">
        <v>36</v>
      </c>
    </row>
    <row r="3" spans="1:3" ht="14.5" x14ac:dyDescent="0.35">
      <c r="A3" s="2" t="s">
        <v>23</v>
      </c>
      <c r="B3" s="2" t="s">
        <v>292</v>
      </c>
      <c r="C3" s="2" t="s">
        <v>293</v>
      </c>
    </row>
    <row r="4" spans="1:3" ht="14.5" x14ac:dyDescent="0.35">
      <c r="A4" s="2" t="s">
        <v>16</v>
      </c>
      <c r="B4" s="2" t="s">
        <v>294</v>
      </c>
      <c r="C4" s="2" t="s">
        <v>295</v>
      </c>
    </row>
    <row r="5" spans="1:3" ht="14.5" x14ac:dyDescent="0.35">
      <c r="A5" s="2" t="s">
        <v>70</v>
      </c>
      <c r="B5" s="2" t="s">
        <v>296</v>
      </c>
      <c r="C5" s="2" t="s">
        <v>295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71303E-57EC-431A-818B-57CC02C297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payments_raw</vt:lpstr>
      <vt:lpstr>checks</vt:lpstr>
      <vt:lpstr> daily_report </vt:lpstr>
      <vt:lpstr>reference_purpose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Redmi</dc:creator>
  <cp:lastModifiedBy>Redmi</cp:lastModifiedBy>
  <dcterms:created xsi:type="dcterms:W3CDTF">2026-02-03T09:49:41Z</dcterms:created>
  <dcterms:modified xsi:type="dcterms:W3CDTF">2026-02-27T10:03:34Z</dcterms:modified>
</cp:coreProperties>
</file>